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ventario" sheetId="1" state="visible" r:id="rId3"/>
    <sheet name="Cruce" sheetId="2" state="visible" r:id="rId4"/>
    <sheet name="salidabranches-micros" sheetId="3" state="visible" r:id="rId5"/>
    <sheet name="globales-sys" sheetId="4" state="visible" r:id="rId6"/>
    <sheet name="globales-baas" sheetId="5" state="visible" r:id="rId7"/>
    <sheet name="globales-bff" sheetId="6" state="visible" r:id="rId8"/>
  </sheets>
  <definedNames>
    <definedName function="false" hidden="true" localSheetId="2" name="_xlnm._FilterDatabase" vbProcedure="false">'salidabranches-micros'!$A$1:$M$256</definedName>
    <definedName function="false" hidden="true" localSheetId="0" name="_xlnm._FilterDatabase" vbProcedure="false">Inventario!$A$1:$Q$438</definedName>
    <definedName function="false" hidden="true" localSheetId="2" name="_xlnm._FilterDatabase" vbProcedure="false">'salidabranches-micros'!$A$1:$M$256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<sst xmlns="http://schemas.openxmlformats.org/spreadsheetml/2006/main" count="11210" uniqueCount="3686">
  <si>
    <t xml:space="preserve">env</t>
  </si>
  <si>
    <t xml:space="preserve">namespace</t>
  </si>
  <si>
    <t xml:space="preserve">providerEnv</t>
  </si>
  <si>
    <t xml:space="preserve">deployedName</t>
  </si>
  <si>
    <t xml:space="preserve">applicationName</t>
  </si>
  <si>
    <t xml:space="preserve">configName</t>
  </si>
  <si>
    <t xml:space="preserve">microserviceType</t>
  </si>
  <si>
    <t xml:space="preserve">image</t>
  </si>
  <si>
    <t xml:space="preserve">isFeature</t>
  </si>
  <si>
    <t xml:space="preserve">deploymentName</t>
  </si>
  <si>
    <t xml:space="preserve">helmChartVersion</t>
  </si>
  <si>
    <t xml:space="preserve">ownerEmail</t>
  </si>
  <si>
    <t xml:space="preserve">gitUrl</t>
  </si>
  <si>
    <t xml:space="preserve">microserviceVersion</t>
  </si>
  <si>
    <t xml:space="preserve">configVersion</t>
  </si>
  <si>
    <t xml:space="preserve">frameworkVersion</t>
  </si>
  <si>
    <t xml:space="preserve">configUrl</t>
  </si>
  <si>
    <t xml:space="preserve">PRO</t>
  </si>
  <si>
    <t xml:space="preserve">ns-storage</t>
  </si>
  <si>
    <t xml:space="preserve">AWS</t>
  </si>
  <si>
    <t xml:space="preserve">ms-storage-ondemand</t>
  </si>
  <si>
    <t xml:space="preserve">ms-storage-ondemand-micros-app-configs</t>
  </si>
  <si>
    <t xml:space="preserve">p4ms</t>
  </si>
  <si>
    <t xml:space="preserve">artifactory.apps.devops.aws.bancsabadell.com/p4-virtual/p4des/ms-storage-ondemand:2.1.0</t>
  </si>
  <si>
    <t xml:space="preserve">ms-storage-ondemand-p4ms</t>
  </si>
  <si>
    <t xml:space="preserve">p4ms-1.1.10</t>
  </si>
  <si>
    <t xml:space="preserve">v888087@adgbs.com</t>
  </si>
  <si>
    <t xml:space="preserve">https://bitbucket.apps.devops.aws.bancsabadell.com/scm/p4des/ms-storage-ondemand.git</t>
  </si>
  <si>
    <t xml:space="preserve">2.1.0</t>
  </si>
  <si>
    <t xml:space="preserve">3.0.0</t>
  </si>
  <si>
    <t xml:space="preserve">3.9.6</t>
  </si>
  <si>
    <t xml:space="preserve">https://kubernetes-dashboard.apps.pro.aws.bancsabadell.com/#/configmap/pro-ns-storage/ms-storage-ondemand-micros-app-configs?namespace=pro-ns-storage</t>
  </si>
  <si>
    <t xml:space="preserve">ns-ai</t>
  </si>
  <si>
    <t xml:space="preserve">ms-ai-nlp-engine</t>
  </si>
  <si>
    <t xml:space="preserve">ms-ai-nlp-engine-micros-py-configs</t>
  </si>
  <si>
    <t xml:space="preserve">p4mspy</t>
  </si>
  <si>
    <t xml:space="preserve">artifactory.apps.devops.aws.bancsabadell.com/p4-virtual/ms-ai-nlp-engine:1.0.7</t>
  </si>
  <si>
    <t xml:space="preserve">ms-ai-nlp-engine-p4mspy</t>
  </si>
  <si>
    <t xml:space="preserve">p4mspy-0.0.11</t>
  </si>
  <si>
    <t xml:space="preserve">mariano.carello@quant.global</t>
  </si>
  <si>
    <t xml:space="preserve">http://repos.bancsabadell.com/bitbucket/scm/ESSAB_P4_AI/ms-ai-nlp-engine.git</t>
  </si>
  <si>
    <t xml:space="preserve">1.0.7</t>
  </si>
  <si>
    <t xml:space="preserve">1.0.6</t>
  </si>
  <si>
    <t xml:space="preserve">null</t>
  </si>
  <si>
    <t xml:space="preserve">https://kubernetes-dashboard.apps.pro.aws.bancsabadell.com/#/configmap/pro-ns-ai/ms-ai-nlp-engine-micros-py-configs?namespace=pro-ns-ai</t>
  </si>
  <si>
    <t xml:space="preserve">ms-ai-audio-transcribe</t>
  </si>
  <si>
    <t xml:space="preserve">ms-ai-audio-transcribe-micros-app-configs</t>
  </si>
  <si>
    <t xml:space="preserve">artifactory.apps.devops.aws.bancsabadell.com/p4-virtual/essab_p4_ai/ms-ai-audio-transcribe:4.3.1</t>
  </si>
  <si>
    <t xml:space="preserve">ms-ai-audio-transcribe-p4ms</t>
  </si>
  <si>
    <t xml:space="preserve">p4ms-1.1.8</t>
  </si>
  <si>
    <t xml:space="preserve">cnunez@paradigmadigital.com</t>
  </si>
  <si>
    <t xml:space="preserve">http://repos.bancsabadell.com/bitbucket/scm/ESSAB_P4_AI/ms-ai-audio-transcribe.git</t>
  </si>
  <si>
    <t xml:space="preserve">4.3.1</t>
  </si>
  <si>
    <t xml:space="preserve">4.3.2</t>
  </si>
  <si>
    <t xml:space="preserve">3.7.0</t>
  </si>
  <si>
    <t xml:space="preserve">https://kubernetes-dashboard.apps.pro.aws.bancsabadell.com/#/configmap/pro-ns-ai/ms-ai-audio-transcribe-micros-app-configs?namespace=pro-ns-ai</t>
  </si>
  <si>
    <t xml:space="preserve">ms-ai-derivation</t>
  </si>
  <si>
    <t xml:space="preserve">ms-ai-derivation-micros-py-configs</t>
  </si>
  <si>
    <t xml:space="preserve">artifactory.apps.devops.aws.bancsabadell.com/p4-virtual/ms-ai-derivation:1.0.7</t>
  </si>
  <si>
    <t xml:space="preserve">ms-ai-derivation-p4mspy</t>
  </si>
  <si>
    <t xml:space="preserve">p4mspy-0.0.13</t>
  </si>
  <si>
    <t xml:space="preserve">daniel.b.delgado@accenture.com</t>
  </si>
  <si>
    <t xml:space="preserve">http://repos.bancsabadell.com/bitbucket/scm/ES/ms-ai-derivation.git</t>
  </si>
  <si>
    <t xml:space="preserve">1.0.1</t>
  </si>
  <si>
    <t xml:space="preserve">https://kubernetes-dashboard.apps.pro.aws.bancsabadell.com/#/configmap/pro-ns-ai/ms-ai-derivation-micros-py-configs?namespace=pro-ns-ai</t>
  </si>
  <si>
    <t xml:space="preserve">ms-ai-subject-1</t>
  </si>
  <si>
    <t xml:space="preserve">ms-ai-subject-1-micros-py-configs</t>
  </si>
  <si>
    <t xml:space="preserve">artifactory.apps.devops.aws.bancsabadell.com/p4-virtual/ms-ai-subject-1:1.0.1</t>
  </si>
  <si>
    <t xml:space="preserve">ms-ai-subject-1-p4mspy</t>
  </si>
  <si>
    <t xml:space="preserve">p4mspy-0.0.7</t>
  </si>
  <si>
    <t xml:space="preserve">ignacio.martin@accenture.com</t>
  </si>
  <si>
    <t xml:space="preserve">http://repos.bancsabadell.com/bitbucket/scm/ES/ms-ai-subject-1.git</t>
  </si>
  <si>
    <t xml:space="preserve">https://kubernetes-dashboard.apps.pro.aws.bancsabadell.com/#/configmap/pro-ns-ai/ms-ai-subject-1-micros-py-configs?namespace=pro-ns-ai</t>
  </si>
  <si>
    <t xml:space="preserve">ms-ai-resolution</t>
  </si>
  <si>
    <t xml:space="preserve">ms-ai-resolution-micros-py-configs</t>
  </si>
  <si>
    <t xml:space="preserve">artifactory.apps.devops.aws.bancsabadell.com/p4-virtual/ms-ai-resolution:1.0.7</t>
  </si>
  <si>
    <t xml:space="preserve">ms-ai-resolution-p4mspy</t>
  </si>
  <si>
    <t xml:space="preserve">p4mspy-0.0.8</t>
  </si>
  <si>
    <t xml:space="preserve">http://repos.bancsabadell.com/bitbucket/scm/ES/ms-ai-resolution.git</t>
  </si>
  <si>
    <t xml:space="preserve">https://kubernetes-dashboard.apps.pro.aws.bancsabadell.com/#/configmap/pro-ns-ai/ms-ai-resolution-micros-py-configs?namespace=pro-ns-ai</t>
  </si>
  <si>
    <t xml:space="preserve">ms-ai-llm-text-engine</t>
  </si>
  <si>
    <t xml:space="preserve">ms-ai-llm-text-engine-micros-py-configs</t>
  </si>
  <si>
    <t xml:space="preserve">artifactory.apps.devops.aws.bancsabadell.com/p4-virtual/ms-ai-llm-text-engine:1.0.7</t>
  </si>
  <si>
    <t xml:space="preserve">ms-ai-llm-text-engine-p4mspy</t>
  </si>
  <si>
    <t xml:space="preserve">j.e.martin@accenture.com</t>
  </si>
  <si>
    <t xml:space="preserve">http://repos.bancsabadell.com/bitbucket/scm/ESSAB_P4_AI/ms-ai-llm-text-engine.git</t>
  </si>
  <si>
    <t xml:space="preserve">https://kubernetes-dashboard.apps.pro.aws.bancsabadell.com/#/configmap/pro-ns-ai/ms-ai-llm-text-engine-micros-py-configs?namespace=pro-ns-ai</t>
  </si>
  <si>
    <t xml:space="preserve">ms-ai-file-anonymizer</t>
  </si>
  <si>
    <t xml:space="preserve">ms-ai-file-anonymizer-micros-py-configs</t>
  </si>
  <si>
    <t xml:space="preserve">artifactory.apps.devops.aws.bancsabadell.com/p4-virtual/ms-ai-file-anonymizer:2.2.4</t>
  </si>
  <si>
    <t xml:space="preserve">ms-ai-file-anonymizer-p4mspy</t>
  </si>
  <si>
    <t xml:space="preserve">p4mspy-0.0.15</t>
  </si>
  <si>
    <t xml:space="preserve">s482870@adgbs.com</t>
  </si>
  <si>
    <t xml:space="preserve">http://repos.bancsabadell.com/bitbucket/scm/VMB/ms-ai-file-anonymizer.git</t>
  </si>
  <si>
    <t xml:space="preserve">2.2.4</t>
  </si>
  <si>
    <t xml:space="preserve">https://kubernetes-dashboard.apps.pro.aws.bancsabadell.com/#/configmap/pro-ns-ai/ms-ai-file-anonymizer-micros-py-configs?namespace=pro-ns-ai</t>
  </si>
  <si>
    <t xml:space="preserve">ms-ai-sentiment</t>
  </si>
  <si>
    <t xml:space="preserve">ms-ai-sentiment-micros-py-configs</t>
  </si>
  <si>
    <t xml:space="preserve">artifactory.apps.devops.aws.bancsabadell.com/p4-virtual/ms-ai-sentiment:1.0.9</t>
  </si>
  <si>
    <t xml:space="preserve">ms-ai-sentiment-p4mspy</t>
  </si>
  <si>
    <t xml:space="preserve">http://repos.bancsabadell.com/bitbucket/scm/ES/ms-ai-sentiment.git</t>
  </si>
  <si>
    <t xml:space="preserve">1.0.9</t>
  </si>
  <si>
    <t xml:space="preserve">https://kubernetes-dashboard.apps.pro.aws.bancsabadell.com/#/configmap/pro-ns-ai/ms-ai-sentiment-micros-py-configs?namespace=pro-ns-ai</t>
  </si>
  <si>
    <t xml:space="preserve">ms-ai-conversation-processor</t>
  </si>
  <si>
    <t xml:space="preserve">ms-ai-conversation-processor-micros-py-configs</t>
  </si>
  <si>
    <t xml:space="preserve">artifactory.apps.devops.aws.bancsabadell.com/p4-virtual/ms-ai-conversation-processor:2.0.1</t>
  </si>
  <si>
    <t xml:space="preserve">ms-ai-conversation-processor-p4mspy</t>
  </si>
  <si>
    <t xml:space="preserve">http://repos.bancsabadell.com/bitbucket/scm/ES/ms-ai-conversation-processor.git</t>
  </si>
  <si>
    <t xml:space="preserve">2.0.1</t>
  </si>
  <si>
    <t xml:space="preserve">https://kubernetes-dashboard.apps.pro.aws.bancsabadell.com/#/configmap/pro-ns-ai/ms-ai-conversation-processor-micros-py-configs?namespace=pro-ns-ai</t>
  </si>
  <si>
    <t xml:space="preserve">ns-bff</t>
  </si>
  <si>
    <t xml:space="preserve">ms-domain-selae-redsys</t>
  </si>
  <si>
    <t xml:space="preserve">ms-domain-selae-redsys-micros-app-configs</t>
  </si>
  <si>
    <t xml:space="preserve">artifactory.apps.devops.aws.bancsabadell.com/p4-virtual/mobi/ms-domain-selae-redsys:0.1.11</t>
  </si>
  <si>
    <t xml:space="preserve">ms-domain-selae-redsys-p4ms</t>
  </si>
  <si>
    <t xml:space="preserve">p4ms-0.9.0</t>
  </si>
  <si>
    <t xml:space="preserve">josep.itarte@gft.com</t>
  </si>
  <si>
    <t xml:space="preserve">http://repos.bancsabadell.com/bitbucket/scm/MOBI/ms-domain-selae-redsys.git</t>
  </si>
  <si>
    <t xml:space="preserve">0.1.11</t>
  </si>
  <si>
    <t xml:space="preserve">0.1.3</t>
  </si>
  <si>
    <t xml:space="preserve">1.0.0</t>
  </si>
  <si>
    <t xml:space="preserve">https://kubernetes-dashboard.apps.pro.aws.bancsabadell.com/#/configmap/pro-ns-bff/ms-domain-selae-redsys-micros-app-configs?namespace=pro-ns-bff</t>
  </si>
  <si>
    <t xml:space="preserve">ms-bff-information-spaces-v1</t>
  </si>
  <si>
    <t xml:space="preserve">ms-bff-information-spaces-v1-micros-app-configs</t>
  </si>
  <si>
    <t xml:space="preserve">artifactory.apps.devops.aws.bancsabadell.com/p4-virtual/mobi/ms-bff-information-spaces-v1:1.2.6</t>
  </si>
  <si>
    <t xml:space="preserve">ms-bff-information-spaces-v1-p4ms</t>
  </si>
  <si>
    <t xml:space="preserve">p4ms-1.1.24</t>
  </si>
  <si>
    <t xml:space="preserve">anabel.monserrat@gft.com</t>
  </si>
  <si>
    <t xml:space="preserve">http://repos.bancsabadell.com/bitbucket/scm/MOBI/ms-bff-information-spaces-v1.git</t>
  </si>
  <si>
    <t xml:space="preserve">1.2.6</t>
  </si>
  <si>
    <t xml:space="preserve">1.1.2</t>
  </si>
  <si>
    <t xml:space="preserve">3.9.5</t>
  </si>
  <si>
    <t xml:space="preserve">https://kubernetes-dashboard.apps.pro.aws.bancsabadell.com/#/configmap/pro-ns-bff/ms-bff-information-spaces-v1-micros-app-configs?namespace=pro-ns-bff</t>
  </si>
  <si>
    <t xml:space="preserve">ms-bff-errors-v1</t>
  </si>
  <si>
    <t xml:space="preserve">ms-bff-errors-v1-micros-app-configs</t>
  </si>
  <si>
    <t xml:space="preserve">artifactory.apps.devops.aws.bancsabadell.com/p4-virtual/mobi/ms-bff-errors-v1:1.4.6</t>
  </si>
  <si>
    <t xml:space="preserve">ms-bff-errors-v1-p4ms</t>
  </si>
  <si>
    <t xml:space="preserve">p4ms-1.1.14</t>
  </si>
  <si>
    <t xml:space="preserve">jchikkud@emeal.nttdata.com</t>
  </si>
  <si>
    <t xml:space="preserve">http://repos.bancsabadell.com/bitbucket/scm/MOBI/ms-bff-errors-v1.git</t>
  </si>
  <si>
    <t xml:space="preserve">1.4.6</t>
  </si>
  <si>
    <t xml:space="preserve">1.2.4</t>
  </si>
  <si>
    <t xml:space="preserve">https://kubernetes-dashboard.apps.pro.aws.bancsabadell.com/#/configmap/pro-ns-bff/ms-bff-errors-v1-micros-app-configs?namespace=pro-ns-bff</t>
  </si>
  <si>
    <t xml:space="preserve">ms-bff-onfido-webhook</t>
  </si>
  <si>
    <t xml:space="preserve">ms-bff-onfido-webhook-micros-app-configs</t>
  </si>
  <si>
    <t xml:space="preserve">artifactory.apps.devops.aws.bancsabadell.com/p4-virtual/mobi/ms-bff-onfido-webhook:0.4.6</t>
  </si>
  <si>
    <t xml:space="preserve">ms-bff-onfido-webhook-p4ms</t>
  </si>
  <si>
    <t xml:space="preserve">p4ms-1.1.19</t>
  </si>
  <si>
    <t xml:space="preserve">jalfarop@emeal.nttdata.com</t>
  </si>
  <si>
    <t xml:space="preserve">http://repos.bancsabadell.com/bitbucket/scm/MOBI/ms-bff-onfido-webhook.git</t>
  </si>
  <si>
    <t xml:space="preserve">0.4.6</t>
  </si>
  <si>
    <t xml:space="preserve">0.2.2</t>
  </si>
  <si>
    <t xml:space="preserve">1.14.0</t>
  </si>
  <si>
    <t xml:space="preserve">https://kubernetes-dashboard.apps.pro.aws.bancsabadell.com/#/configmap/pro-ns-bff/ms-bff-onfido-webhook-micros-app-configs?namespace=pro-ns-bff</t>
  </si>
  <si>
    <t xml:space="preserve">ms-bff-nv-product-matching-v0</t>
  </si>
  <si>
    <t xml:space="preserve">ms-bff-nv-product-matching-v0-micros-app-configs</t>
  </si>
  <si>
    <t xml:space="preserve">artifactory.apps.devops.aws.bancsabadell.com/p4-virtual/mobi/ms-bff-nv-product-matching-v0:0.7.9</t>
  </si>
  <si>
    <t xml:space="preserve">ms-bff-nv-product-matching-v0-p4ms</t>
  </si>
  <si>
    <t xml:space="preserve">juan.villar@globant.com</t>
  </si>
  <si>
    <t xml:space="preserve">http://repos.bancsabadell.com/bitbucket/scm/MOBI/ms-bff-nv-product-matching-v0.git</t>
  </si>
  <si>
    <t xml:space="preserve">0.7.9</t>
  </si>
  <si>
    <t xml:space="preserve">3.9.9</t>
  </si>
  <si>
    <t xml:space="preserve">https://kubernetes-dashboard.apps.pro.aws.bancsabadell.com/#/configmap/pro-ns-bff/ms-bff-nv-product-matching-v0-micros-app-configs?namespace=pro-ns-bff</t>
  </si>
  <si>
    <t xml:space="preserve">ms-bff-communications-v1</t>
  </si>
  <si>
    <t xml:space="preserve">ms-bff-communications-v1-micros-app-configs</t>
  </si>
  <si>
    <t xml:space="preserve">artifactory.apps.devops.aws.bancsabadell.com/p4-virtual/mobi/ms-bff-communications-v1:1.7.4</t>
  </si>
  <si>
    <t xml:space="preserve">ms-bff-communications-v1-p4ms</t>
  </si>
  <si>
    <t xml:space="preserve">devops@devops.com</t>
  </si>
  <si>
    <t xml:space="preserve">http://repos.bancsabadell.com/bitbucket/scm/MOBI/ms-bff-communications-v1.git</t>
  </si>
  <si>
    <t xml:space="preserve">1.7.4</t>
  </si>
  <si>
    <t xml:space="preserve">1.6.6</t>
  </si>
  <si>
    <t xml:space="preserve">https://kubernetes-dashboard.apps.pro.aws.bancsabadell.com/#/configmap/pro-ns-bff/ms-bff-communications-v1-micros-app-configs?namespace=pro-ns-bff</t>
  </si>
  <si>
    <t xml:space="preserve">ms-bff-payment-rail-operations-bizum-v1</t>
  </si>
  <si>
    <t xml:space="preserve">ms-bff-payment-rail-operations-bizum-v1-micros-app-configs</t>
  </si>
  <si>
    <t xml:space="preserve">artifactory.apps.devops.aws.bancsabadell.com/p4-virtual/p4cp/ms-bff-payment-rail-operations-bizum-v1:2.0.2</t>
  </si>
  <si>
    <t xml:space="preserve">ms-bff-payment-rail-operations-bizum-v1-p4ms</t>
  </si>
  <si>
    <t xml:space="preserve">p4ms-1.1.7</t>
  </si>
  <si>
    <t xml:space="preserve">sraotedl@emeal.nttdata.com</t>
  </si>
  <si>
    <t xml:space="preserve">http://repos.bancsabadell.com/bitbucket/scm/P4CP/ms-bff-payment-rail-operations-bizum-v1.git</t>
  </si>
  <si>
    <t xml:space="preserve">2.0.2</t>
  </si>
  <si>
    <t xml:space="preserve">2.0.7</t>
  </si>
  <si>
    <t xml:space="preserve">1.11.0</t>
  </si>
  <si>
    <t xml:space="preserve">https://kubernetes-dashboard.apps.pro.aws.bancsabadell.com/#/configmap/pro-ns-bff/ms-bff-payment-rail-operations-bizum-v1-micros-app-configs?namespace=pro-ns-bff</t>
  </si>
  <si>
    <t xml:space="preserve">ms-bff-bsm</t>
  </si>
  <si>
    <t xml:space="preserve">ms-bff-bsm-micros-app-configs</t>
  </si>
  <si>
    <t xml:space="preserve">artifactory.apps.devops.aws.bancsabadell.com/p4-virtual/mobi/ms-bff-bsm:0.3.16</t>
  </si>
  <si>
    <t xml:space="preserve">ms-bff-bsm-p4ms</t>
  </si>
  <si>
    <t xml:space="preserve">p4ms-0.11.0</t>
  </si>
  <si>
    <t xml:space="preserve">jdra@gft.com</t>
  </si>
  <si>
    <t xml:space="preserve">http://repos.bancsabadell.com/bitbucket/scm/MOBI/ms-bff-bsm.git</t>
  </si>
  <si>
    <t xml:space="preserve">0.3.16</t>
  </si>
  <si>
    <t xml:space="preserve">0.2.8</t>
  </si>
  <si>
    <t xml:space="preserve">https://kubernetes-dashboard.apps.pro.aws.bancsabadell.com/#/configmap/pro-ns-bff/ms-bff-bsm-micros-app-configs?namespace=pro-ns-bff</t>
  </si>
  <si>
    <t xml:space="preserve">ms-bff-tjmovilpinrecovery</t>
  </si>
  <si>
    <t xml:space="preserve">ms-bff-tjmovilpinrecovery-micros-app-configs</t>
  </si>
  <si>
    <t xml:space="preserve">artifactory.apps.devops.aws.bancsabadell.com/p4-virtual/p4cp/ms-bff-tjmovilpinrecovery:1.0.1</t>
  </si>
  <si>
    <t xml:space="preserve">ms-bff-tjmovilpinrecovery-p4ms</t>
  </si>
  <si>
    <t xml:space="preserve">p4ms-1.1.6</t>
  </si>
  <si>
    <t xml:space="preserve">http://repos.bancsabadell.com/bitbucket/scm/P4CP/ms-bff-tjmovilpinrecovery.git</t>
  </si>
  <si>
    <t xml:space="preserve">0.1.6</t>
  </si>
  <si>
    <t xml:space="preserve">https://kubernetes-dashboard.apps.pro.aws.bancsabadell.com/#/configmap/pro-ns-bff/ms-bff-tjmovilpinrecovery-micros-app-configs?namespace=pro-ns-bff</t>
  </si>
  <si>
    <t xml:space="preserve">ms-bff-bank-guarantee</t>
  </si>
  <si>
    <t xml:space="preserve">ms-bff-bank-guarantee-micros-app-configs</t>
  </si>
  <si>
    <t xml:space="preserve">artifactory.apps.devops.aws.bancsabadell.com/p4-virtual/p4cp/ms-bff-bank-guarantee:0.2.7</t>
  </si>
  <si>
    <t xml:space="preserve">ms-bff-bank-guarantee-p4ms</t>
  </si>
  <si>
    <t xml:space="preserve">jeegisha.srivastava@accenture.com</t>
  </si>
  <si>
    <t xml:space="preserve">http://repos.bancsabadell.com/bitbucket/scm/P4CP/ms-bff-bank-guarantee.git</t>
  </si>
  <si>
    <t xml:space="preserve">0.2.7</t>
  </si>
  <si>
    <t xml:space="preserve">2.0.3</t>
  </si>
  <si>
    <t xml:space="preserve">2.7.1</t>
  </si>
  <si>
    <t xml:space="preserve">https://kubernetes-dashboard.apps.pro.aws.bancsabadell.com/#/configmap/pro-ns-bff/ms-bff-bank-guarantee-micros-app-configs?namespace=pro-ns-bff</t>
  </si>
  <si>
    <t xml:space="preserve">ms-bff-svexpressconsentquery</t>
  </si>
  <si>
    <t xml:space="preserve">ms-bff-svexpressconsentquery-micros-app-configs</t>
  </si>
  <si>
    <t xml:space="preserve">artifactory.apps.devops.aws.bancsabadell.com/p4-virtual/p4cp/ms-bff-svexpressconsentquery:0.1.0</t>
  </si>
  <si>
    <t xml:space="preserve">ms-bff-svexpressconsentquery-p4ms</t>
  </si>
  <si>
    <t xml:space="preserve">http://repos.bancsabadell.com/bitbucket/scm/P4CP/ms-bff-svexpressconsentquery.git</t>
  </si>
  <si>
    <t xml:space="preserve">0.1.0</t>
  </si>
  <si>
    <t xml:space="preserve">https://kubernetes-dashboard.apps.pro.aws.bancsabadell.com/#/configmap/pro-ns-bff/ms-bff-svexpressconsentquery-micros-app-configs?namespace=pro-ns-bff</t>
  </si>
  <si>
    <t xml:space="preserve">ms-bff-customer-products-and-services-v1</t>
  </si>
  <si>
    <t xml:space="preserve">ms-bff-customer-products-and-services-v1-micros-app-configs</t>
  </si>
  <si>
    <t xml:space="preserve">artifactory.apps.devops.aws.bancsabadell.com/p4-virtual/mobi/ms-bff-customer-products-and-services-v1:1.8.2</t>
  </si>
  <si>
    <t xml:space="preserve">ms-bff-customer-products-and-services-v1-p4ms</t>
  </si>
  <si>
    <t xml:space="preserve">http://repos.bancsabadell.com/bitbucket/scm/MOBI/ms-bff-customer-products-and-services-v1.git</t>
  </si>
  <si>
    <t xml:space="preserve">1.8.2</t>
  </si>
  <si>
    <t xml:space="preserve">1.4.13</t>
  </si>
  <si>
    <t xml:space="preserve">https://kubernetes-dashboard.apps.pro.aws.bancsabadell.com/#/configmap/pro-ns-bff/ms-bff-customer-products-and-services-v1-micros-app-configs?namespace=pro-ns-bff</t>
  </si>
  <si>
    <t xml:space="preserve">ms-bff-party-routing-profile</t>
  </si>
  <si>
    <t xml:space="preserve">ms-bff-party-routing-profile-micros-app-configs</t>
  </si>
  <si>
    <t xml:space="preserve">artifactory.apps.devops.aws.bancsabadell.com/p4-virtual/mobi/ms-bff-party-routing-profile:0.4.26</t>
  </si>
  <si>
    <t xml:space="preserve">ms-bff-party-routing-profile-p4ms</t>
  </si>
  <si>
    <t xml:space="preserve">http://repos.bancsabadell.com/bitbucket/scm/MOBI/ms-bff-party-routing-profile.git</t>
  </si>
  <si>
    <t xml:space="preserve">0.4.26</t>
  </si>
  <si>
    <t xml:space="preserve">0.4.8</t>
  </si>
  <si>
    <t xml:space="preserve">3.9.11</t>
  </si>
  <si>
    <t xml:space="preserve">https://kubernetes-dashboard.apps.pro.aws.bancsabadell.com/#/configmap/pro-ns-bff/ms-bff-party-routing-profile-micros-app-configs?namespace=pro-ns-bff</t>
  </si>
  <si>
    <t xml:space="preserve">ms-bff-front-log</t>
  </si>
  <si>
    <t xml:space="preserve">ms-bff-front-log-micros-app-configs</t>
  </si>
  <si>
    <t xml:space="preserve">artifactory.apps.devops.aws.bancsabadell.com/p4-virtual/p4des/ms-bff-front-log:1.0.2</t>
  </si>
  <si>
    <t xml:space="preserve">ms-bff-front-log-p4ms</t>
  </si>
  <si>
    <t xml:space="preserve">p4ms-1.1.26</t>
  </si>
  <si>
    <t xml:space="preserve">architecture_p4@bancsabadell.com</t>
  </si>
  <si>
    <t xml:space="preserve">https://bitbucket.apps.devops.aws.bancsabadell.com/scm/P4DES/ms-bff-front-log.git</t>
  </si>
  <si>
    <t xml:space="preserve">1.0.2</t>
  </si>
  <si>
    <t xml:space="preserve">0.2.0</t>
  </si>
  <si>
    <t xml:space="preserve">3.9.13</t>
  </si>
  <si>
    <t xml:space="preserve">https://kubernetes-dashboard.apps.pro.aws.bancsabadell.com/#/configmap/pro-ns-bff/ms-bff-front-log-micros-app-configs?namespace=pro-ns-bff</t>
  </si>
  <si>
    <t xml:space="preserve">ms-bff-customer-relationship-management-messaging-v1</t>
  </si>
  <si>
    <t xml:space="preserve">ms-bff-customer-relationship-management-messaging-v1-micros-app-configs</t>
  </si>
  <si>
    <t xml:space="preserve">artifactory.apps.devops.aws.bancsabadell.com/p4-virtual/p4cp/ms-bff-customer-relationship-management-messaging-v1:1.1.2</t>
  </si>
  <si>
    <t xml:space="preserve">ms-bff-customer-relationship-management-messaging-v1-p4ms</t>
  </si>
  <si>
    <t xml:space="preserve">jesus.martinez.lopez@nttdata.com</t>
  </si>
  <si>
    <t xml:space="preserve">http://repos.bancsabadell.com/bitbucket/scm/p4cp/ms-bff-customer-relationship-management-messaging-v1.git</t>
  </si>
  <si>
    <t xml:space="preserve">1.16.3</t>
  </si>
  <si>
    <t xml:space="preserve">https://kubernetes-dashboard.apps.pro.aws.bancsabadell.com/#/configmap/pro-ns-bff/ms-bff-customer-relationship-management-messaging-v1-micros-app-configs?namespace=pro-ns-bff</t>
  </si>
  <si>
    <t xml:space="preserve">ms-bff-product-catalog-v1</t>
  </si>
  <si>
    <t xml:space="preserve">ms-bff-product-catalog-v1-micros-app-configs</t>
  </si>
  <si>
    <t xml:space="preserve">artifactory.apps.devops.aws.bancsabadell.com/p4-virtual/mobi/ms-bff-product-catalog-v1:0.4.18</t>
  </si>
  <si>
    <t xml:space="preserve">ms-bff-product-catalog-v1-p4ms</t>
  </si>
  <si>
    <t xml:space="preserve">http://repos.bancsabadell.com/bitbucket/scm/MOBI/ms-bff-product-catalog-v1.git</t>
  </si>
  <si>
    <t xml:space="preserve">0.4.18</t>
  </si>
  <si>
    <t xml:space="preserve">0.4.5</t>
  </si>
  <si>
    <t xml:space="preserve">3.9.2</t>
  </si>
  <si>
    <t xml:space="preserve">https://kubernetes-dashboard.apps.pro.aws.bancsabadell.com/#/configmap/pro-ns-bff/ms-bff-product-catalog-v1-micros-app-configs?namespace=pro-ns-bff</t>
  </si>
  <si>
    <t xml:space="preserve">ms-bff-correspondence-v1</t>
  </si>
  <si>
    <t xml:space="preserve">ms-bff-correspondence-v1-micros-app-configs</t>
  </si>
  <si>
    <t xml:space="preserve">artifactory.apps.devops.aws.bancsabadell.com/p4-virtual/p4cp/ms-bff-correspondence-v1:0.1.7</t>
  </si>
  <si>
    <t xml:space="preserve">ms-bff-correspondence-v1-p4ms</t>
  </si>
  <si>
    <t xml:space="preserve">jemartlo@nttdata.com</t>
  </si>
  <si>
    <t xml:space="preserve">http://repos.bancsabadell.com/bitbucket/scm/p4cp/ms-bff-correspondence-v1.git</t>
  </si>
  <si>
    <t xml:space="preserve">0.1.7</t>
  </si>
  <si>
    <t xml:space="preserve">1.6.0</t>
  </si>
  <si>
    <t xml:space="preserve">https://kubernetes-dashboard.apps.pro.aws.bancsabadell.com/#/configmap/pro-ns-bff/ms-bff-correspondence-v1-micros-app-configs?namespace=pro-ns-bff</t>
  </si>
  <si>
    <t xml:space="preserve">ms-bff-remote-office</t>
  </si>
  <si>
    <t xml:space="preserve">ms-bff-remote-office-micros-app-configs</t>
  </si>
  <si>
    <t xml:space="preserve">artifactory.apps.devops.aws.bancsabadell.com/p4-virtual/ofre/ms-bff-remote-office:0.1.2</t>
  </si>
  <si>
    <t xml:space="preserve">ms-bff-remote-office-p4ms</t>
  </si>
  <si>
    <t xml:space="preserve">miguel.franco.torres@emeal.nttdata.com</t>
  </si>
  <si>
    <t xml:space="preserve">http://repos.bancsabadell.com/bitbucket/scm/OFRE/ms-bff-remote-office-v0.git</t>
  </si>
  <si>
    <t xml:space="preserve">0.1.2</t>
  </si>
  <si>
    <t xml:space="preserve">0.0.5</t>
  </si>
  <si>
    <t xml:space="preserve">https://kubernetes-dashboard.apps.pro.aws.bancsabadell.com/#/configmap/pro-ns-bff/ms-bff-remote-office-micros-app-configs?namespace=pro-ns-bff</t>
  </si>
  <si>
    <t xml:space="preserve">ms-bff-bs-accounts-aggregation-v1</t>
  </si>
  <si>
    <t xml:space="preserve">ms-bff-bs-accounts-aggregation-v1-micros-app-configs</t>
  </si>
  <si>
    <t xml:space="preserve">artifactory.apps.devops.aws.bancsabadell.com/p4-virtual/p4cp/ms-bff-bs-accounts-aggregation-v1:0.1.10</t>
  </si>
  <si>
    <t xml:space="preserve">ms-bff-bs-accounts-aggregation-v1-p4ms</t>
  </si>
  <si>
    <t xml:space="preserve">cservill@emeal.nttdata.com</t>
  </si>
  <si>
    <t xml:space="preserve">http://repos.bancsabadell.com/bitbucket/scm/P4CP/ms-bff-bs-accounts-aggregation-v1.git</t>
  </si>
  <si>
    <t xml:space="preserve">0.1.10</t>
  </si>
  <si>
    <t xml:space="preserve">https://kubernetes-dashboard.apps.pro.aws.bancsabadell.com/#/configmap/pro-ns-bff/ms-bff-bs-accounts-aggregation-v1-micros-app-configs?namespace=pro-ns-bff</t>
  </si>
  <si>
    <t xml:space="preserve">ms-bff-bsm-v2</t>
  </si>
  <si>
    <t xml:space="preserve">ms-bff-bsm-v2-micros-app-configs</t>
  </si>
  <si>
    <t xml:space="preserve">artifactory.apps.devops.aws.bancsabadell.com/p4-virtual/mobi/ms-bff-bsm-v2:1.0.2</t>
  </si>
  <si>
    <t xml:space="preserve">ms-bff-bsm-v2-p4ms</t>
  </si>
  <si>
    <t xml:space="preserve">p4ms-0.14.4</t>
  </si>
  <si>
    <t xml:space="preserve">denis.casajus@gft.com</t>
  </si>
  <si>
    <t xml:space="preserve">http://repos.bancsabadell.com/bitbucket/scm/MOBI/ms-bff-bsm-v2.git</t>
  </si>
  <si>
    <t xml:space="preserve">0.2.9</t>
  </si>
  <si>
    <t xml:space="preserve">https://kubernetes-dashboard.apps.pro.aws.bancsabadell.com/#/configmap/pro-ns-bff/ms-bff-bsm-v2-micros-app-configs?namespace=pro-ns-bff</t>
  </si>
  <si>
    <t xml:space="preserve">ms-bff-etrading-workbench-v1</t>
  </si>
  <si>
    <t xml:space="preserve">ms-bff-etrading-workbench-v1-micros-app-configs</t>
  </si>
  <si>
    <t xml:space="preserve">artifactory.apps.devops.aws.bancsabadell.com/p4-virtual/p4cp/ms-bff-etrading-workbench-v1:1.0.30</t>
  </si>
  <si>
    <t xml:space="preserve">ms-bff-etrading-workbench-v1-p4ms</t>
  </si>
  <si>
    <t xml:space="preserve">http://repos.bancsabadell.com/bitbucket/scm/P4CP/ms-bff-etrading-workbench-v1.git</t>
  </si>
  <si>
    <t xml:space="preserve">1.0.30</t>
  </si>
  <si>
    <t xml:space="preserve">1.0.17</t>
  </si>
  <si>
    <t xml:space="preserve">https://kubernetes-dashboard.apps.pro.aws.bancsabadell.com/#/configmap/pro-ns-bff/ms-bff-etrading-workbench-v1-micros-app-configs?namespace=pro-ns-bff</t>
  </si>
  <si>
    <t xml:space="preserve">ms-bff-cards-hiring-v1</t>
  </si>
  <si>
    <t xml:space="preserve">ms-bff-cards-hiring-v1-micros-app-configs</t>
  </si>
  <si>
    <t xml:space="preserve">artifactory.apps.devops.aws.bancsabadell.com/p4-virtual/mobi/ms-bff-cards-hiring-v1:0.1.6</t>
  </si>
  <si>
    <t xml:space="preserve">ms-bff-cards-hiring-v1-p4ms</t>
  </si>
  <si>
    <t xml:space="preserve">sahmed@indra.es</t>
  </si>
  <si>
    <t xml:space="preserve">http://repos.bancsabadell.com/bitbucket/scm/MOBI/ms-bff-cards-hiring-v1.git</t>
  </si>
  <si>
    <t xml:space="preserve">1.8.0</t>
  </si>
  <si>
    <t xml:space="preserve">https://kubernetes-dashboard.apps.pro.aws.bancsabadell.com/#/configmap/pro-ns-bff/ms-bff-cards-hiring-v1-micros-app-configs?namespace=pro-ns-bff</t>
  </si>
  <si>
    <t xml:space="preserve">ms-bff-credit-facility</t>
  </si>
  <si>
    <t xml:space="preserve">ms-bff-credit-facility-micros-app-configs</t>
  </si>
  <si>
    <t xml:space="preserve">artifactory.apps.devops.aws.bancsabadell.com/p4-virtual/p4cp/ms-bff-credit-facility:0.2.3</t>
  </si>
  <si>
    <t xml:space="preserve">ms-bff-credit-facility-p4ms</t>
  </si>
  <si>
    <t xml:space="preserve">mbassols@emeal.nttdata.com</t>
  </si>
  <si>
    <t xml:space="preserve">http://repos.bancsabadell.com/bitbucket/scm/p4cp/ms-bff-credit-facility.git</t>
  </si>
  <si>
    <t xml:space="preserve">0.2.3</t>
  </si>
  <si>
    <t xml:space="preserve">https://kubernetes-dashboard.apps.pro.aws.bancsabadell.com/#/configmap/pro-ns-bff/ms-bff-credit-facility-micros-app-configs?namespace=pro-ns-bff</t>
  </si>
  <si>
    <t xml:space="preserve">ms-bff-cards-claim-movements</t>
  </si>
  <si>
    <t xml:space="preserve">ms-bff-cards-claim-movements-micros-app-configs</t>
  </si>
  <si>
    <t xml:space="preserve">artifactory.apps.devops.aws.bancsabadell.com/p4-virtual/mobi/ms-bff-cards-claim-movements:1.0.31</t>
  </si>
  <si>
    <t xml:space="preserve">ms-bff-cards-claim-movements-p4ms</t>
  </si>
  <si>
    <t xml:space="preserve">http://repos.bancsabadell.com/bitbucket/scm/mobi/ms-bff-cards-claim-movements.git</t>
  </si>
  <si>
    <t xml:space="preserve">1.0.31</t>
  </si>
  <si>
    <t xml:space="preserve">https://kubernetes-dashboard.apps.pro.aws.bancsabadell.com/#/configmap/pro-ns-bff/ms-bff-cards-claim-movements-micros-app-configs?namespace=pro-ns-bff</t>
  </si>
  <si>
    <t xml:space="preserve">ms-bff-insurance-v1</t>
  </si>
  <si>
    <t xml:space="preserve">ms-bff-insurance-v1-micros-app-configs</t>
  </si>
  <si>
    <t xml:space="preserve">artifactory.apps.devops.aws.bancsabadell.com/p4-virtual/mobi/ms-bff-insurance-v1:1.1.2</t>
  </si>
  <si>
    <t xml:space="preserve">ms-bff-insurance-v1-p4ms</t>
  </si>
  <si>
    <t xml:space="preserve">leonardo.ramos@gft.com</t>
  </si>
  <si>
    <t xml:space="preserve">http://repos.bancsabadell.com/bitbucket/scm/MOBI/ms-bff-insurance-v1.git</t>
  </si>
  <si>
    <t xml:space="preserve">https://kubernetes-dashboard.apps.pro.aws.bancsabadell.com/#/configmap/pro-ns-bff/ms-bff-insurance-v1-micros-app-configs?namespace=pro-ns-bff</t>
  </si>
  <si>
    <t xml:space="preserve">ms-bff-term-deposit-v1</t>
  </si>
  <si>
    <t xml:space="preserve">ms-bff-term-deposit-v1-micros-app-configs</t>
  </si>
  <si>
    <t xml:space="preserve">artifactory.apps.devops.aws.bancsabadell.com/p4-virtual/p4cp/ms-bff-term-deposit-v1:1.0.11</t>
  </si>
  <si>
    <t xml:space="preserve">ms-bff-term-deposit-v1-p4ms</t>
  </si>
  <si>
    <t xml:space="preserve">http://repos.bancsabadell.com/bitbucket/scm/P4CP/ms-bff-term-deposit-v1.git</t>
  </si>
  <si>
    <t xml:space="preserve">1.0.11</t>
  </si>
  <si>
    <t xml:space="preserve">1.0.3</t>
  </si>
  <si>
    <t xml:space="preserve">https://kubernetes-dashboard.apps.pro.aws.bancsabadell.com/#/configmap/pro-ns-bff/ms-bff-term-deposit-v1-micros-app-configs?namespace=pro-ns-bff</t>
  </si>
  <si>
    <t xml:space="preserve">ms-bff-payment-order-v1</t>
  </si>
  <si>
    <t xml:space="preserve">ms-bff-payment-order-v1-micros-app-configs</t>
  </si>
  <si>
    <t xml:space="preserve">artifactory.apps.devops.aws.bancsabadell.com/p4-virtual/p4cp/ms-bff-payment-order-v1:2.3.2</t>
  </si>
  <si>
    <t xml:space="preserve">ms-bff-payment-order-v1-p4ms</t>
  </si>
  <si>
    <t xml:space="preserve">P830430@adgbs.com</t>
  </si>
  <si>
    <t xml:space="preserve">http://repos.bancsabadell.com/bitbucket/scm/P4CP/ms-bff-payment-order-v1.git</t>
  </si>
  <si>
    <t xml:space="preserve">2.3.2</t>
  </si>
  <si>
    <t xml:space="preserve">1.1.3</t>
  </si>
  <si>
    <t xml:space="preserve">3.9.8</t>
  </si>
  <si>
    <t xml:space="preserve">https://kubernetes-dashboard.apps.pro.aws.bancsabadell.com/#/configmap/pro-ns-bff/ms-bff-payment-order-v1-micros-app-configs?namespace=pro-ns-bff</t>
  </si>
  <si>
    <t xml:space="preserve">ms-bff-customer-access-entitlement-v1</t>
  </si>
  <si>
    <t xml:space="preserve">ms-bff-customer-access-entitlement-v1-micros-app-configs</t>
  </si>
  <si>
    <t xml:space="preserve">artifactory.apps.devops.aws.bancsabadell.com/p4-virtual/p4cp/ms-bff-customer-access-entitlement-v1:1.0.6</t>
  </si>
  <si>
    <t xml:space="preserve">ms-bff-customer-access-entitlement-v1-p4ms</t>
  </si>
  <si>
    <t xml:space="preserve">sdheeraj@nttdata.com</t>
  </si>
  <si>
    <t xml:space="preserve">http://repos.bancsabadell.com/bitbucket/scm/P4CP/ms-bff-customer-access-entitlement-v1.git</t>
  </si>
  <si>
    <t xml:space="preserve">https://kubernetes-dashboard.apps.pro.aws.bancsabadell.com/#/configmap/pro-ns-bff/ms-bff-customer-access-entitlement-v1-micros-app-configs?namespace=pro-ns-bff</t>
  </si>
  <si>
    <t xml:space="preserve">ms-bff-position-keeping-mobapp-v0</t>
  </si>
  <si>
    <t xml:space="preserve">ms-bff-position-keeping-mobapp-v0-micros-app-configs</t>
  </si>
  <si>
    <t xml:space="preserve">artifactory.apps.devops.aws.bancsabadell.com/p4-virtual/p4cp/ms-bff-position-keeping-mobapp-v0:0.0.8</t>
  </si>
  <si>
    <t xml:space="preserve">ms-bff-position-keeping-mobapp-v0-p4ms</t>
  </si>
  <si>
    <t xml:space="preserve">p4ms-0.15.3</t>
  </si>
  <si>
    <t xml:space="preserve">dc@innocells.io</t>
  </si>
  <si>
    <t xml:space="preserve">http://repos.bancsabadell.com/bitbucket/scm/P4CP/ms-bff-position-keeping-mobapp-v0.git</t>
  </si>
  <si>
    <t xml:space="preserve">0.0.8</t>
  </si>
  <si>
    <t xml:space="preserve">0.0.6</t>
  </si>
  <si>
    <t xml:space="preserve">https://kubernetes-dashboard.apps.pro.aws.bancsabadell.com/#/configmap/pro-ns-bff/ms-bff-position-keeping-mobapp-v0-micros-app-configs?namespace=pro-ns-bff</t>
  </si>
  <si>
    <t xml:space="preserve">ms-bff-cards-v1</t>
  </si>
  <si>
    <t xml:space="preserve">ms-bff-cards-v1-micros-app-configs</t>
  </si>
  <si>
    <t xml:space="preserve">artifactory.apps.devops.aws.bancsabadell.com/p4-virtual/p4cp/ms-bff-cards-v1:0.1.7</t>
  </si>
  <si>
    <t xml:space="preserve">ms-bff-cards-v1-p4ms</t>
  </si>
  <si>
    <t xml:space="preserve">mbassols@nttdata.com</t>
  </si>
  <si>
    <t xml:space="preserve">http://repos.bancsabadell.com/bitbucket/scm/p4cp/ms-bff-cards-v1.git</t>
  </si>
  <si>
    <t xml:space="preserve">0.1.4</t>
  </si>
  <si>
    <t xml:space="preserve">https://kubernetes-dashboard.apps.pro.aws.bancsabadell.com/#/configmap/pro-ns-bff/ms-bff-cards-v1-micros-app-configs?namespace=pro-ns-bff</t>
  </si>
  <si>
    <t xml:space="preserve">ms-bff-customer-position-v1</t>
  </si>
  <si>
    <t xml:space="preserve">ms-bff-customer-position-v1-micros-app-configs</t>
  </si>
  <si>
    <t xml:space="preserve">artifactory.apps.devops.aws.bancsabadell.com/p4-virtual/mobi/ms-bff-customer-position-v1:1.4.1</t>
  </si>
  <si>
    <t xml:space="preserve">ms-bff-customer-position-v1-p4ms</t>
  </si>
  <si>
    <t xml:space="preserve">http://repos.bancsabadell.com/bitbucket/scm/MOBI/ms-bff-customer-position-v1.git</t>
  </si>
  <si>
    <t xml:space="preserve">1.4.1</t>
  </si>
  <si>
    <t xml:space="preserve">https://kubernetes-dashboard.apps.pro.aws.bancsabadell.com/#/configmap/pro-ns-bff/ms-bff-customer-position-v1-micros-app-configs?namespace=pro-ns-bff</t>
  </si>
  <si>
    <t xml:space="preserve">ms-bff-cards-dds-v1</t>
  </si>
  <si>
    <t xml:space="preserve">ms-bff-cards-dds-v1-micros-app-configs</t>
  </si>
  <si>
    <t xml:space="preserve">artifactory.apps.devops.aws.bancsabadell.com/p4-virtual/mobi/ms-bff-cards-dds-v1:1.2.14</t>
  </si>
  <si>
    <t xml:space="preserve">ms-bff-cards-dds-v1-p4ms</t>
  </si>
  <si>
    <t xml:space="preserve">fjtaboada@minsait.com</t>
  </si>
  <si>
    <t xml:space="preserve">http://repos.bancsabadell.com/bitbucket/scm/mobi/ms-bff-cards-dds-v1.git</t>
  </si>
  <si>
    <t xml:space="preserve">1.2.14</t>
  </si>
  <si>
    <t xml:space="preserve">1.1.18</t>
  </si>
  <si>
    <t xml:space="preserve">https://kubernetes-dashboard.apps.pro.aws.bancsabadell.com/#/configmap/pro-ns-bff/ms-bff-cards-dds-v1-micros-app-configs?namespace=pro-ns-bff</t>
  </si>
  <si>
    <t xml:space="preserve">ms-bff-investment-portfolio-management-v1</t>
  </si>
  <si>
    <t xml:space="preserve">ms-bff-investment-portfolio-management-v1-micros-app-configs</t>
  </si>
  <si>
    <t xml:space="preserve">artifactory.apps.devops.aws.bancsabadell.com/p4-virtual/p4cp/ms-bff-investment-portfolio-management-v1:2.0.5</t>
  </si>
  <si>
    <t xml:space="preserve">ms-bff-investment-portfolio-management-v1-p4ms</t>
  </si>
  <si>
    <t xml:space="preserve">http://repos.bancsabadell.com/bitbucket/scm/P4CP/ms-bff-investment-portfolio-management-v1.git</t>
  </si>
  <si>
    <t xml:space="preserve">2.0.5</t>
  </si>
  <si>
    <t xml:space="preserve">https://kubernetes-dashboard.apps.pro.aws.bancsabadell.com/#/configmap/pro-ns-bff/ms-bff-investment-portfolio-management-v1-micros-app-configs?namespace=pro-ns-bff</t>
  </si>
  <si>
    <t xml:space="preserve">ms-bff-onfido</t>
  </si>
  <si>
    <t xml:space="preserve">ms-bff-onfido-micros-app-configs</t>
  </si>
  <si>
    <t xml:space="preserve">artifactory.apps.devops.aws.bancsabadell.com/p4-virtual/mobi/ms-bff-onfido:0.3.6</t>
  </si>
  <si>
    <t xml:space="preserve">ms-bff-onfido-p4ms</t>
  </si>
  <si>
    <t xml:space="preserve">fovm@gft.com</t>
  </si>
  <si>
    <t xml:space="preserve">http://repos.bancsabadell.com/bitbucket/scm/mobi/ms-bff-onfido.git</t>
  </si>
  <si>
    <t xml:space="preserve">0.3.6</t>
  </si>
  <si>
    <t xml:space="preserve">https://kubernetes-dashboard.apps.pro.aws.bancsabadell.com/#/configmap/pro-ns-bff/ms-bff-onfido-micros-app-configs?namespace=pro-ns-bff</t>
  </si>
  <si>
    <t xml:space="preserve">ms-bff-lead-and-opportunity-management-v1</t>
  </si>
  <si>
    <t xml:space="preserve">ms-bff-lead-and-opportunity-management-v1-micros-app-configs</t>
  </si>
  <si>
    <t xml:space="preserve">artifactory.apps.devops.aws.bancsabadell.com/p4-virtual/p4cp/ms-bff-lead-and-opportunity-management-v1:1.0.0</t>
  </si>
  <si>
    <t xml:space="preserve">ms-bff-lead-and-opportunity-management-v1-p4ms</t>
  </si>
  <si>
    <t xml:space="preserve">nnerella@emeal.nttdata.com</t>
  </si>
  <si>
    <t xml:space="preserve">http://repos.bancsabadell.com/bitbucket/scm/P4CP/ms-bff-lead-and-opportunity-management-v1.git</t>
  </si>
  <si>
    <t xml:space="preserve">https://kubernetes-dashboard.apps.pro.aws.bancsabadell.com/#/configmap/pro-ns-bff/ms-bff-lead-and-opportunity-management-v1-micros-app-configs?namespace=pro-ns-bff</t>
  </si>
  <si>
    <t xml:space="preserve">ms-bff-card-financial-settlement-v1</t>
  </si>
  <si>
    <t xml:space="preserve">ms-bff-card-financial-settlement-v1-micros-app-configs</t>
  </si>
  <si>
    <t xml:space="preserve">artifactory.apps.devops.aws.bancsabadell.com/p4-virtual/p4cp/ms-bff-card-financial-settlement-v1:0.1.6</t>
  </si>
  <si>
    <t xml:space="preserve">ms-bff-card-financial-settlement-v1-p4ms</t>
  </si>
  <si>
    <t xml:space="preserve">http://repos.bancsabadell.com/bitbucket/scm/p4cp/ms-bff-card-financial-settlement-v1.git</t>
  </si>
  <si>
    <t xml:space="preserve">0.1.12</t>
  </si>
  <si>
    <t xml:space="preserve">https://kubernetes-dashboard.apps.pro.aws.bancsabadell.com/#/configmap/pro-ns-bff/ms-bff-card-financial-settlement-v1-micros-app-configs?namespace=pro-ns-bff</t>
  </si>
  <si>
    <t xml:space="preserve">ms-domain-selae</t>
  </si>
  <si>
    <t xml:space="preserve">ms-domain-selae-micros-app-configs</t>
  </si>
  <si>
    <t xml:space="preserve">artifactory.apps.devops.aws.bancsabadell.com/p4-virtual/mobi/ms-domain-selae:0.1.10</t>
  </si>
  <si>
    <t xml:space="preserve">ms-domain-selae-p4ms</t>
  </si>
  <si>
    <t xml:space="preserve">http://repos.bancsabadell.com/bitbucket/scm/MOBI/ms-domain-selae.git</t>
  </si>
  <si>
    <t xml:space="preserve">0.1.1</t>
  </si>
  <si>
    <t xml:space="preserve">https://kubernetes-dashboard.apps.pro.aws.bancsabadell.com/#/configmap/pro-ns-bff/ms-domain-selae-micros-app-configs?namespace=pro-ns-bff</t>
  </si>
  <si>
    <t xml:space="preserve">ms-bff-party-reference-data-directory-v2</t>
  </si>
  <si>
    <t xml:space="preserve">ms-bff-party-reference-data-directory-v2-micros-app-configs</t>
  </si>
  <si>
    <t xml:space="preserve">artifactory.apps.devops.aws.bancsabadell.com/p4-virtual/mobi/ms-bff-party-reference-data-directory-v2:2.0.8</t>
  </si>
  <si>
    <t xml:space="preserve">ms-bff-party-reference-data-directory-v2-p4ms</t>
  </si>
  <si>
    <t xml:space="preserve">http://repos.bancsabadell.com/bitbucket/scm/MOBI/ms-bff-party-reference-data-directory-v2.git</t>
  </si>
  <si>
    <t xml:space="preserve">2.0.8</t>
  </si>
  <si>
    <t xml:space="preserve">https://kubernetes-dashboard.apps.pro.aws.bancsabadell.com/#/configmap/pro-ns-bff/ms-bff-party-reference-data-directory-v2-micros-app-configs?namespace=pro-ns-bff</t>
  </si>
  <si>
    <t xml:space="preserve">ms-bff-correspondence-v2</t>
  </si>
  <si>
    <t xml:space="preserve">ms-bff-correspondence-v2-micros-app-configs</t>
  </si>
  <si>
    <t xml:space="preserve">artifactory.apps.devops.aws.bancsabadell.com/p4-virtual/p4cp/ms-bff-correspondence-v2:1.3.3</t>
  </si>
  <si>
    <t xml:space="preserve">ms-bff-correspondence-v2-p4ms</t>
  </si>
  <si>
    <t xml:space="preserve">http://repos.bancsabadell.com/bitbucket/scm/P4CP/ms-bff-correspondence-v2.git</t>
  </si>
  <si>
    <t xml:space="preserve">1.3.3</t>
  </si>
  <si>
    <t xml:space="preserve">https://kubernetes-dashboard.apps.pro.aws.bancsabadell.com/#/configmap/pro-ns-bff/ms-bff-correspondence-v2-micros-app-configs?namespace=pro-ns-bff</t>
  </si>
  <si>
    <t xml:space="preserve">ms-bff-home-empresas-validation-v1</t>
  </si>
  <si>
    <t xml:space="preserve">ms-bff-home-empresas-validation-v1-micros-app-configs</t>
  </si>
  <si>
    <t xml:space="preserve">artifactory.apps.devops.aws.bancsabadell.com/p4-virtual/p4cp/ms-bff-home-empresas-validation-v1:0.1.10</t>
  </si>
  <si>
    <t xml:space="preserve">ms-bff-home-empresas-validation-v1-p4ms</t>
  </si>
  <si>
    <t xml:space="preserve">jemartlo@emal.nttdata.com</t>
  </si>
  <si>
    <t xml:space="preserve">http://repos.bancsabadell.com/bitbucket/scm/P4CP/ms-bff-home-empresas-validation-v1.git</t>
  </si>
  <si>
    <t xml:space="preserve">https://kubernetes-dashboard.apps.pro.aws.bancsabadell.com/#/configmap/pro-ns-bff/ms-bff-home-empresas-validation-v1-micros-app-configs?namespace=pro-ns-bff</t>
  </si>
  <si>
    <t xml:space="preserve">ms-bff-svexpressconsentupdate</t>
  </si>
  <si>
    <t xml:space="preserve">ms-bff-svexpressconsentupdate-micros-app-configs</t>
  </si>
  <si>
    <t xml:space="preserve">artifactory.apps.devops.aws.bancsabadell.com/p4-virtual/p4cp/ms-bff-svexpressconsentupdate:0.1.0</t>
  </si>
  <si>
    <t xml:space="preserve">ms-bff-svexpressconsentupdate-p4ms</t>
  </si>
  <si>
    <t xml:space="preserve">http://repos.bancsabadell.com/bitbucket/scm/P4CP/ms-bff-svexpressconsentupdate.git</t>
  </si>
  <si>
    <t xml:space="preserve">https://kubernetes-dashboard.apps.pro.aws.bancsabadell.com/#/configmap/pro-ns-bff/ms-bff-svexpressconsentupdate-micros-app-configs?namespace=pro-ns-bff</t>
  </si>
  <si>
    <t xml:space="preserve">ms-bff-factoring-v1</t>
  </si>
  <si>
    <t xml:space="preserve">ms-bff-factoring-v1-micros-app-configs</t>
  </si>
  <si>
    <t xml:space="preserve">artifactory.apps.devops.aws.bancsabadell.com/p4-virtual/p4cp/ms-bff-factoring-v1:1.2.3</t>
  </si>
  <si>
    <t xml:space="preserve">ms-bff-factoring-v1-p4ms</t>
  </si>
  <si>
    <t xml:space="preserve">http://repos.bancsabadell.com/bitbucket/scm/P4CP/ms-bff-factoring-v1.git</t>
  </si>
  <si>
    <t xml:space="preserve">1.2.3</t>
  </si>
  <si>
    <t xml:space="preserve">https://kubernetes-dashboard.apps.pro.aws.bancsabadell.com/#/configmap/pro-ns-bff/ms-bff-factoring-v1-micros-app-configs?namespace=pro-ns-bff</t>
  </si>
  <si>
    <t xml:space="preserve">ms-bff-confirming-v1</t>
  </si>
  <si>
    <t xml:space="preserve">ms-bff-confirming-v1-micros-app-configs</t>
  </si>
  <si>
    <t xml:space="preserve">artifactory.apps.devops.aws.bancsabadell.com/p4-virtual/p4cp/ms-bff-confirming-v1:1.0.7</t>
  </si>
  <si>
    <t xml:space="preserve">ms-bff-confirming-v1-p4ms</t>
  </si>
  <si>
    <t xml:space="preserve">http://repos.bancsabadell.com/bitbucket/scm/p4cp/ms-bff-confirming-v1.git</t>
  </si>
  <si>
    <t xml:space="preserve">1.0.5</t>
  </si>
  <si>
    <t xml:space="preserve">https://kubernetes-dashboard.apps.pro.aws.bancsabadell.com/#/configmap/pro-ns-bff/ms-bff-confirming-v1-micros-app-configs?namespace=pro-ns-bff</t>
  </si>
  <si>
    <t xml:space="preserve">ms-bff-accounts-receivable</t>
  </si>
  <si>
    <t xml:space="preserve">ms-bff-accounts-receivable-micros-app-configs</t>
  </si>
  <si>
    <t xml:space="preserve">artifactory.apps.devops.aws.bancsabadell.com/p4-virtual/mobi/ms-bff-accounts-receivable:0.1.7</t>
  </si>
  <si>
    <t xml:space="preserve">ms-bff-accounts-receivable-p4ms</t>
  </si>
  <si>
    <t xml:space="preserve">http://repos.bancsabadell.com/bitbucket/scm/MOBI/ms-bff-accounts-receivable.git</t>
  </si>
  <si>
    <t xml:space="preserve">https://kubernetes-dashboard.apps.pro.aws.bancsabadell.com/#/configmap/pro-ns-bff/ms-bff-accounts-receivable-micros-app-configs?namespace=pro-ns-bff</t>
  </si>
  <si>
    <t xml:space="preserve">ms-bff-financial-products-v1</t>
  </si>
  <si>
    <t xml:space="preserve">ms-bff-financial-products-v1-micros-app-configs</t>
  </si>
  <si>
    <t xml:space="preserve">artifactory.apps.devops.aws.bancsabadell.com/p4-virtual/mobi/ms-bff-financial-products-v1:1.11.1</t>
  </si>
  <si>
    <t xml:space="preserve">ms-bff-financial-products-v1-p4ms</t>
  </si>
  <si>
    <t xml:space="preserve">http://repos.bancsabadell.com/bitbucket/scm/MOBI/ms-bff-financial-products-v1.git</t>
  </si>
  <si>
    <t xml:space="preserve">1.11.1</t>
  </si>
  <si>
    <t xml:space="preserve">1.6.7</t>
  </si>
  <si>
    <t xml:space="preserve">https://kubernetes-dashboard.apps.pro.aws.bancsabadell.com/#/configmap/pro-ns-bff/ms-bff-financial-products-v1-micros-app-configs?namespace=pro-ns-bff</t>
  </si>
  <si>
    <t xml:space="preserve">ms-bff-deep-links-v1</t>
  </si>
  <si>
    <t xml:space="preserve">ms-bff-deep-links-v1-micros-app-configs</t>
  </si>
  <si>
    <t xml:space="preserve">artifactory.apps.devops.aws.bancsabadell.com/p4-virtual/p4cp/ms-bff-deep-links-v1:0.6.0</t>
  </si>
  <si>
    <t xml:space="preserve">ms-bff-deep-links-v1-p4ms</t>
  </si>
  <si>
    <t xml:space="preserve">T532531@adgbs.com</t>
  </si>
  <si>
    <t xml:space="preserve">http://repos.bancsabadell.com/bitbucket/scm/P4CP/ms-bff-deep-links-v1.git</t>
  </si>
  <si>
    <t xml:space="preserve">0.6.0</t>
  </si>
  <si>
    <t xml:space="preserve">0.1.157</t>
  </si>
  <si>
    <t xml:space="preserve">https://kubernetes-dashboard.apps.pro.aws.bancsabadell.com/#/configmap/pro-ns-bff/ms-bff-deep-links-v1-micros-app-configs?namespace=pro-ns-bff</t>
  </si>
  <si>
    <t xml:space="preserve">ms-bff-onboarding</t>
  </si>
  <si>
    <t xml:space="preserve">ms-bff-onboarding-micros-app-configs</t>
  </si>
  <si>
    <t xml:space="preserve">artifactory.apps.devops.aws.bancsabadell.com/p4-virtual/p4cp/ms-bff-onboarding:0.14.4</t>
  </si>
  <si>
    <t xml:space="preserve">ms-bff-onboarding-p4ms</t>
  </si>
  <si>
    <t xml:space="preserve">http://repos.bancsabadell.com/bitbucket/scm/P4CP/ms-bff-onboarding.git</t>
  </si>
  <si>
    <t xml:space="preserve">0.14.4</t>
  </si>
  <si>
    <t xml:space="preserve">0.7.0</t>
  </si>
  <si>
    <t xml:space="preserve">https://kubernetes-dashboard.apps.pro.aws.bancsabadell.com/#/configmap/pro-ns-bff/ms-bff-onboarding-micros-app-configs?namespace=pro-ns-bff</t>
  </si>
  <si>
    <t xml:space="preserve">ms-bff-transaction-authorization-bd</t>
  </si>
  <si>
    <t xml:space="preserve">ms-bff-transaction-authorization-bd-micros-app-configs</t>
  </si>
  <si>
    <t xml:space="preserve">artifactory.apps.devops.aws.bancsabadell.com/p4-virtual/p4cp/ms-bff-transaction-authorization-bd:0.1.6</t>
  </si>
  <si>
    <t xml:space="preserve">ms-bff-transaction-authorization-bd-p4ms</t>
  </si>
  <si>
    <t xml:space="preserve">carlos.servillerahernandez@emeal.nttdata.com</t>
  </si>
  <si>
    <t xml:space="preserve">http://repos.bancsabadell.com/bitbucket/scm/P4CP/ms-bff-transaction-authorization-bd.git</t>
  </si>
  <si>
    <t xml:space="preserve">0.1.5</t>
  </si>
  <si>
    <t xml:space="preserve">https://kubernetes-dashboard.apps.pro.aws.bancsabadell.com/#/configmap/pro-ns-bff/ms-bff-transaction-authorization-bd-micros-app-configs?namespace=pro-ns-bff</t>
  </si>
  <si>
    <t xml:space="preserve">ms-bff-party-reference-data-directory-v1</t>
  </si>
  <si>
    <t xml:space="preserve">ms-bff-party-reference-data-directory-v1-micros-app-configs</t>
  </si>
  <si>
    <t xml:space="preserve">artifactory.apps.devops.aws.bancsabadell.com/p4-virtual/p4cp/ms-bff-party-reference-data-directory-v1:1.0.26</t>
  </si>
  <si>
    <t xml:space="preserve">ms-bff-party-reference-data-directory-v1-p4ms</t>
  </si>
  <si>
    <t xml:space="preserve">smunnalu@emeal.nttdata.com</t>
  </si>
  <si>
    <t xml:space="preserve">http://repos.bancsabadell.com/bitbucket/scm/P4CP/ms-bff-party-reference-data-directory-v1.git</t>
  </si>
  <si>
    <t xml:space="preserve">1.0.26</t>
  </si>
  <si>
    <t xml:space="preserve">1.0.10</t>
  </si>
  <si>
    <t xml:space="preserve">https://kubernetes-dashboard.apps.pro.aws.bancsabadell.com/#/configmap/pro-ns-bff/ms-bff-party-reference-data-directory-v1-micros-app-configs?namespace=pro-ns-bff</t>
  </si>
  <si>
    <t xml:space="preserve">ms-bff-customer-product-and-service-elegibility-v1</t>
  </si>
  <si>
    <t xml:space="preserve">ms-bff-customer-product-and-service-elegibility-v1-micros-app-configs</t>
  </si>
  <si>
    <t xml:space="preserve">artifactory.apps.devops.aws.bancsabadell.com/p4-virtual/p4cp/ms-bff-customer-product-and-service-elegibility-v1:0.1.0</t>
  </si>
  <si>
    <t xml:space="preserve">ms-bff-customer-product-and-service-elegibility-v1-p4ms</t>
  </si>
  <si>
    <t xml:space="preserve">p4ms-0.15.1</t>
  </si>
  <si>
    <t xml:space="preserve">klakkadu@emeal.nttdata.com</t>
  </si>
  <si>
    <t xml:space="preserve">http://repos.bancsabadell.com/bitbucket/scm/P4CP/ms-bff-customer-product-and-service-elegibility-v1.git</t>
  </si>
  <si>
    <t xml:space="preserve">https://kubernetes-dashboard.apps.pro.aws.bancsabadell.com/#/configmap/pro-ns-bff/ms-bff-customer-product-and-service-elegibility-v1-micros-app-configs?namespace=pro-ns-bff</t>
  </si>
  <si>
    <t xml:space="preserve">ms-bff-product-matching-v0</t>
  </si>
  <si>
    <t xml:space="preserve">ms-bff-product-matching-v0-micros-app-configs</t>
  </si>
  <si>
    <t xml:space="preserve">artifactory.apps.devops.aws.bancsabadell.com/p4-virtual/mobi/ms-bff-product-matching-v0:0.7.10</t>
  </si>
  <si>
    <t xml:space="preserve">ms-bff-product-matching-v0-p4ms</t>
  </si>
  <si>
    <t xml:space="preserve">http://repos.bancsabadell.com/bitbucket/scm/MOBI/ms-bff-product-matching-v0.git</t>
  </si>
  <si>
    <t xml:space="preserve">0.7.10</t>
  </si>
  <si>
    <t xml:space="preserve">0.3.3</t>
  </si>
  <si>
    <t xml:space="preserve">https://kubernetes-dashboard.apps.pro.aws.bancsabadell.com/#/configmap/pro-ns-bff/ms-bff-product-matching-v0-micros-app-configs?namespace=pro-ns-bff</t>
  </si>
  <si>
    <t xml:space="preserve">ms-bff-loan-v2</t>
  </si>
  <si>
    <t xml:space="preserve">ms-bff-loan-v2-micros-app-configs</t>
  </si>
  <si>
    <t xml:space="preserve">artifactory.apps.devops.aws.bancsabadell.com/p4-virtual/p4cp/ms-bff-loan-v2:1.1.6</t>
  </si>
  <si>
    <t xml:space="preserve">ms-bff-loan-v2-p4ms</t>
  </si>
  <si>
    <t xml:space="preserve">http://repos.bancsabadell.com/bitbucket/scm/P4CP/ms-bff-loan-v2.git</t>
  </si>
  <si>
    <t xml:space="preserve">1.1.6</t>
  </si>
  <si>
    <t xml:space="preserve">https://kubernetes-dashboard.apps.pro.aws.bancsabadell.com/#/configmap/pro-ns-bff/ms-bff-loan-v2-micros-app-configs?namespace=pro-ns-bff</t>
  </si>
  <si>
    <t xml:space="preserve">ms-bff-cards-hiring</t>
  </si>
  <si>
    <t xml:space="preserve">ms-bff-cards-hiring-micros-app-configs</t>
  </si>
  <si>
    <t xml:space="preserve">artifactory.apps.devops.aws.bancsabadell.com/p4-virtual/mobi/ms-bff-cards-hiring:0.2.10</t>
  </si>
  <si>
    <t xml:space="preserve">ms-bff-cards-hiring-p4ms</t>
  </si>
  <si>
    <t xml:space="preserve">http://repos.bancsabadell.com/bitbucket/scm/MOBI/ms-bff-cards-hiring.git</t>
  </si>
  <si>
    <t xml:space="preserve">0.2.10</t>
  </si>
  <si>
    <t xml:space="preserve">https://kubernetes-dashboard.apps.pro.aws.bancsabadell.com/#/configmap/pro-ns-bff/ms-bff-cards-hiring-micros-app-configs?namespace=pro-ns-bff</t>
  </si>
  <si>
    <t xml:space="preserve">ms-bff-channel-activity-history-v1</t>
  </si>
  <si>
    <t xml:space="preserve">ms-bff-channel-activity-history-v1-micros-app-configs</t>
  </si>
  <si>
    <t xml:space="preserve">artifactory.apps.devops.aws.bancsabadell.com/p4-virtual/p4cp/ms-bff-channel-activity-history-v1:0.1.2</t>
  </si>
  <si>
    <t xml:space="preserve">ms-bff-channel-activity-history-v1-p4ms</t>
  </si>
  <si>
    <t xml:space="preserve">http://repos.bancsabadell.com/bitbucket/scm/P4CP/ms-bff-channel-activity-history-v1.git</t>
  </si>
  <si>
    <t xml:space="preserve">https://kubernetes-dashboard.apps.pro.aws.bancsabadell.com/#/configmap/pro-ns-bff/ms-bff-channel-activity-history-v1-micros-app-configs?namespace=pro-ns-bff</t>
  </si>
  <si>
    <t xml:space="preserve">ms-bff-accounts-transactions</t>
  </si>
  <si>
    <t xml:space="preserve">ms-bff-accounts-transactions-micros-app-configs</t>
  </si>
  <si>
    <t xml:space="preserve">artifactory.apps.devops.aws.bancsabadell.com/p4-virtual/p4cp/ms-bff-accounts-transactions:1.0.8</t>
  </si>
  <si>
    <t xml:space="preserve">ms-bff-accounts-transactions-p4ms</t>
  </si>
  <si>
    <t xml:space="preserve">http://repos.bancsabadell.com/bitbucket/scm/P4CP/ms-bff-accounts-transactions.git</t>
  </si>
  <si>
    <t xml:space="preserve">1.0.8</t>
  </si>
  <si>
    <t xml:space="preserve">0.0.2</t>
  </si>
  <si>
    <t xml:space="preserve">https://kubernetes-dashboard.apps.pro.aws.bancsabadell.com/#/configmap/pro-ns-bff/ms-bff-accounts-transactions-micros-app-configs?namespace=pro-ns-bff</t>
  </si>
  <si>
    <t xml:space="preserve">ms-bff-payment-initiation-v1</t>
  </si>
  <si>
    <t xml:space="preserve">ms-bff-payment-initiation-v1-micros-app-configs</t>
  </si>
  <si>
    <t xml:space="preserve">artifactory.apps.devops.aws.bancsabadell.com/p4-virtual/p4cp/ms-bff-payment-initiation-v1:1.3.0</t>
  </si>
  <si>
    <t xml:space="preserve">ms-bff-payment-initiation-v1-p4ms</t>
  </si>
  <si>
    <t xml:space="preserve">rpindrat@emeal.nttdata.com</t>
  </si>
  <si>
    <t xml:space="preserve">http://repos.bancsabadell.com/bitbucket/scm/P4CP/ms-bff-payment-initiation-v1.git</t>
  </si>
  <si>
    <t xml:space="preserve">1.3.0</t>
  </si>
  <si>
    <t xml:space="preserve">1.1.5</t>
  </si>
  <si>
    <t xml:space="preserve">https://kubernetes-dashboard.apps.pro.aws.bancsabadell.com/#/configmap/pro-ns-bff/ms-bff-payment-initiation-v1-micros-app-configs?namespace=pro-ns-bff</t>
  </si>
  <si>
    <t xml:space="preserve">ms-bff-bsm-v2-multicloud</t>
  </si>
  <si>
    <t xml:space="preserve">ms-bff-bsm-v2-multicloud-micros-app-configs</t>
  </si>
  <si>
    <t xml:space="preserve">artifactory.apps.devops.aws.bancsabadell.com/p4-virtual/mobi/ms-bff-bsm-v2-multicloud:1.0.7</t>
  </si>
  <si>
    <t xml:space="preserve">ms-bff-bsm-v2-multicloud-p4ms</t>
  </si>
  <si>
    <t xml:space="preserve">p4ms-0.13.0</t>
  </si>
  <si>
    <t xml:space="preserve">david.moron@innocells.io</t>
  </si>
  <si>
    <t xml:space="preserve">http://repos.bancsabadell.com/bitbucket/scm/mobi/ms-bff-bsm-v2-multicloud.git</t>
  </si>
  <si>
    <t xml:space="preserve">https://kubernetes-dashboard.apps.pro.aws.bancsabadell.com/#/configmap/pro-ns-bff/ms-bff-bsm-v2-multicloud-micros-app-configs?namespace=pro-ns-bff</t>
  </si>
  <si>
    <t xml:space="preserve">ms-bff-account-certificates-v1</t>
  </si>
  <si>
    <t xml:space="preserve">ms-bff-account-certificates-v1-micros-app-configs</t>
  </si>
  <si>
    <t xml:space="preserve">artifactory.apps.devops.aws.bancsabadell.com/p4-virtual/p4cp/ms-bff-account-certificates-v1:0.2.3</t>
  </si>
  <si>
    <t xml:space="preserve">ms-bff-account-certificates-v1-p4ms</t>
  </si>
  <si>
    <t xml:space="preserve">priysaha@emeal.nttdata.com</t>
  </si>
  <si>
    <t xml:space="preserve">http://repos.bancsabadell.com/bitbucket/scm/P4CP/ms-bff-account-certificates-v1.git</t>
  </si>
  <si>
    <t xml:space="preserve">https://kubernetes-dashboard.apps.pro.aws.bancsabadell.com/#/configmap/pro-ns-bff/ms-bff-account-certificates-v1-micros-app-configs?namespace=pro-ns-bff</t>
  </si>
  <si>
    <t xml:space="preserve">ms-bff-interactive-help-zendesk-v1</t>
  </si>
  <si>
    <t xml:space="preserve">ms-bff-interactive-help-zendesk-v1-micros-app-configs</t>
  </si>
  <si>
    <t xml:space="preserve">artifactory.apps.devops.aws.bancsabadell.com/p4-virtual/mobi/ms-bff-interactive-help-zendesk-v1:0.3.1</t>
  </si>
  <si>
    <t xml:space="preserve">ms-bff-interactive-help-zendesk-v1-p4ms</t>
  </si>
  <si>
    <t xml:space="preserve">http://repos.bancsabadell.com/bitbucket/scm/MOBI/ms-bff-interactive-help-zendesk-v1.git</t>
  </si>
  <si>
    <t xml:space="preserve">0.3.1</t>
  </si>
  <si>
    <t xml:space="preserve">https://kubernetes-dashboard.apps.pro.aws.bancsabadell.com/#/configmap/pro-ns-bff/ms-bff-interactive-help-zendesk-v1-micros-app-configs?namespace=pro-ns-bff</t>
  </si>
  <si>
    <t xml:space="preserve">ms-bff-corporate-current-account-v2</t>
  </si>
  <si>
    <t xml:space="preserve">ms-bff-corporate-current-account-v2-micros-app-configs</t>
  </si>
  <si>
    <t xml:space="preserve">artifactory.apps.devops.aws.bancsabadell.com/p4-virtual/p4cp/ms-bff-corporate-current-account-v2:2.1.5</t>
  </si>
  <si>
    <t xml:space="preserve">ms-bff-corporate-current-account-v2-p4ms</t>
  </si>
  <si>
    <t xml:space="preserve">http://repos.bancsabadell.com/bitbucket/scm/P4CP/ms-bff-corporate-current-account-v2.git</t>
  </si>
  <si>
    <t xml:space="preserve">2.1.5</t>
  </si>
  <si>
    <t xml:space="preserve">1.15.0</t>
  </si>
  <si>
    <t xml:space="preserve">https://kubernetes-dashboard.apps.pro.aws.bancsabadell.com/#/configmap/pro-ns-bff/ms-bff-corporate-current-account-v2-micros-app-configs?namespace=pro-ns-bff</t>
  </si>
  <si>
    <t xml:space="preserve">ms-bff-dc-accounts-v1</t>
  </si>
  <si>
    <t xml:space="preserve">ms-bff-dc-accounts-v1-micros-app-configs</t>
  </si>
  <si>
    <t xml:space="preserve">artifactory.apps.devops.aws.bancsabadell.com/p4-virtual/mobi/ms-bff-dc-accounts-v1:1.9.10</t>
  </si>
  <si>
    <t xml:space="preserve">ms-bff-dc-accounts-v1-p4ms</t>
  </si>
  <si>
    <t xml:space="preserve">http://repos.bancsabadell.com/bitbucket/scm/MOBI/ms-bff-dc-accounts-v1.git</t>
  </si>
  <si>
    <t xml:space="preserve">1.9.10</t>
  </si>
  <si>
    <t xml:space="preserve">1.6.1</t>
  </si>
  <si>
    <t xml:space="preserve">https://kubernetes-dashboard.apps.pro.aws.bancsabadell.com/#/configmap/pro-ns-bff/ms-bff-dc-accounts-v1-micros-app-configs?namespace=pro-ns-bff</t>
  </si>
  <si>
    <t xml:space="preserve">ms-bff-ccf</t>
  </si>
  <si>
    <t xml:space="preserve">ms-bff-ccf-micros-app-configs</t>
  </si>
  <si>
    <t xml:space="preserve">artifactory.apps.devops.aws.bancsabadell.com/p4-virtual/p4cp/ms-bff-ccf:1.1.4</t>
  </si>
  <si>
    <t xml:space="preserve">ms-bff-ccf-p4ms</t>
  </si>
  <si>
    <t xml:space="preserve">hofz@gft.com</t>
  </si>
  <si>
    <t xml:space="preserve">http://repos.bancsabadell.com/bitbucket/scm/P4CP/ms-bff-ccf.git</t>
  </si>
  <si>
    <t xml:space="preserve">1.1.4</t>
  </si>
  <si>
    <t xml:space="preserve">https://kubernetes-dashboard.apps.pro.aws.bancsabadell.com/#/configmap/pro-ns-bff/ms-bff-ccf-micros-app-configs?namespace=pro-ns-bff</t>
  </si>
  <si>
    <t xml:space="preserve">ms-bff-correspondence-v3</t>
  </si>
  <si>
    <t xml:space="preserve">ms-bff-correspondence-v3-micros-app-configs</t>
  </si>
  <si>
    <t xml:space="preserve">artifactory.apps.devops.aws.bancsabadell.com/p4-virtual/p4cp/ms-bff-correspondence-v3:1.2.2</t>
  </si>
  <si>
    <t xml:space="preserve">ms-bff-correspondence-v3-p4ms</t>
  </si>
  <si>
    <t xml:space="preserve">http://repos.bancsabadell.com/bitbucket/scm/P4CP/ms-bff-correspondence-v3.git</t>
  </si>
  <si>
    <t xml:space="preserve">1.2.2</t>
  </si>
  <si>
    <t xml:space="preserve">1.1.9</t>
  </si>
  <si>
    <t xml:space="preserve">https://kubernetes-dashboard.apps.pro.aws.bancsabadell.com/#/configmap/pro-ns-bff/ms-bff-correspondence-v3-micros-app-configs?namespace=pro-ns-bff</t>
  </si>
  <si>
    <t xml:space="preserve">ms-domain-selae-decrypt</t>
  </si>
  <si>
    <t xml:space="preserve">ms-domain-selae-decrypt-micros-app-configs</t>
  </si>
  <si>
    <t xml:space="preserve">artifactory.apps.devops.aws.bancsabadell.com/p4-virtual/mobip4decrypt/ms-domain-selae-decrypt:0.1.11</t>
  </si>
  <si>
    <t xml:space="preserve">ms-domain-selae-decrypt-p4ms</t>
  </si>
  <si>
    <t xml:space="preserve">http://repos.bancsabadell.com/bitbucket/scm/MOBIP4DECRYPT/ms-domain-selae-decrypt.git</t>
  </si>
  <si>
    <t xml:space="preserve">1.1.0-SNAPSHOT</t>
  </si>
  <si>
    <t xml:space="preserve">https://kubernetes-dashboard.apps.pro.aws.bancsabadell.com/#/configmap/pro-ns-bff/ms-domain-selae-decrypt-micros-app-configs?namespace=pro-ns-bff</t>
  </si>
  <si>
    <t xml:space="preserve">ns-inf</t>
  </si>
  <si>
    <t xml:space="preserve">ms-infra-mainframe-adapter</t>
  </si>
  <si>
    <t xml:space="preserve">ms-infra-mainframe-adapter-micros-app-configs</t>
  </si>
  <si>
    <t xml:space="preserve">artifactory.apps.devops.aws.bancsabadell.com/p4-virtual/p4des/ms-infra-mainframe-adapter:0.5.7</t>
  </si>
  <si>
    <t xml:space="preserve">ms-infra-mainframe-adapter-p4ms</t>
  </si>
  <si>
    <t xml:space="preserve">C347115@adgbs.com</t>
  </si>
  <si>
    <t xml:space="preserve">https://bitbucket.apps.devops.aws.bancsabadell.com/scm/p4des/ms-infra-mainframe-adapter.git</t>
  </si>
  <si>
    <t xml:space="preserve">0.5.7</t>
  </si>
  <si>
    <t xml:space="preserve">0.3.22</t>
  </si>
  <si>
    <t xml:space="preserve">https://kubernetes-dashboard.apps.pro.aws.bancsabadell.com/#/configmap/pro-ns-inf/ms-infra-mainframe-adapter-micros-app-configs?namespace=pro-ns-inf</t>
  </si>
  <si>
    <t xml:space="preserve">ms-infra-ai-qa-mgmt</t>
  </si>
  <si>
    <t xml:space="preserve">ms-infra-ai-qa-mgmt-micros-py-configs</t>
  </si>
  <si>
    <t xml:space="preserve">artifactory.apps.devops.aws.bancsabadell.com/p4-virtual/ms-infra-ai-qa-mgmt:1.0.7</t>
  </si>
  <si>
    <t xml:space="preserve">ms-infra-ai-qa-mgmt-p4mspy</t>
  </si>
  <si>
    <t xml:space="preserve">david.salvo@quant.global</t>
  </si>
  <si>
    <t xml:space="preserve">http://repos.bancsabadell.com/bitbucket/scm/ESSAB_P4_AI/ms-infra-ai-qa-mgmt.git</t>
  </si>
  <si>
    <t xml:space="preserve">https://kubernetes-dashboard.apps.pro.aws.bancsabadell.com/#/configmap/pro-ns-inf/ms-infra-ai-qa-mgmt-micros-py-configs?namespace=pro-ns-inf</t>
  </si>
  <si>
    <t xml:space="preserve">ms-storage-netapp</t>
  </si>
  <si>
    <t xml:space="preserve">ms-storage-netapp-micros-app-configs</t>
  </si>
  <si>
    <t xml:space="preserve">artifactory.apps.devops.aws.bancsabadell.com/p4-virtual/p4des/ms-storage-netapp:3.0.0</t>
  </si>
  <si>
    <t xml:space="preserve">ms-storage-netapp-p4ms</t>
  </si>
  <si>
    <t xml:space="preserve">c</t>
  </si>
  <si>
    <t xml:space="preserve">https://bitbucket.apps.devops.aws.bancsabadell.com/scm/p4des/ms-storage-netapp.git</t>
  </si>
  <si>
    <t xml:space="preserve">https://kubernetes-dashboard.apps.pro.aws.bancsabadell.com/#/configmap/pro-ns-inf/ms-storage-netapp-micros-app-configs?namespace=pro-ns-inf</t>
  </si>
  <si>
    <t xml:space="preserve">ms-infra-ai-knowledge-mgmt</t>
  </si>
  <si>
    <t xml:space="preserve">ms-infra-ai-knowledge-mgmt-micros-py-configs</t>
  </si>
  <si>
    <t xml:space="preserve">artifactory.apps.devops.aws.bancsabadell.com/p4-virtual/ms-infra-ai-knowledge-mgmt:1.0.6</t>
  </si>
  <si>
    <t xml:space="preserve">ms-infra-ai-knowledge-mgmt-p4mspy</t>
  </si>
  <si>
    <t xml:space="preserve">p4mspy-0.0.12</t>
  </si>
  <si>
    <t xml:space="preserve">http://repos.bancsabadell.com/bitbucket/scm/ESSAB_P4_AI/ms-infra-ai-knowledge-mgmt.git</t>
  </si>
  <si>
    <t xml:space="preserve">1.0.16</t>
  </si>
  <si>
    <t xml:space="preserve">https://kubernetes-dashboard.apps.pro.aws.bancsabadell.com/#/configmap/pro-ns-inf/ms-infra-ai-knowledge-mgmt-micros-py-configs?namespace=pro-ns-inf</t>
  </si>
  <si>
    <t xml:space="preserve">ms-infra-ai-storage-tools</t>
  </si>
  <si>
    <t xml:space="preserve">ms-infra-ai-storage-tools-micros-py-configs</t>
  </si>
  <si>
    <t xml:space="preserve">artifactory.apps.devops.aws.bancsabadell.com/p4-virtual/ms-infra-ai-storage-tools:0.1.1</t>
  </si>
  <si>
    <t xml:space="preserve">ms-infra-ai-storage-tools-p4mspy</t>
  </si>
  <si>
    <t xml:space="preserve">p4mspy-0.0.14</t>
  </si>
  <si>
    <t xml:space="preserve">omartipe@emeal.nttdata.com</t>
  </si>
  <si>
    <t xml:space="preserve">http://repos.bancsabadell.com/bitbucket/scm/ESSAB_P4_AI/ms-infra-ai-storage-tools.git</t>
  </si>
  <si>
    <t xml:space="preserve">0.0.3</t>
  </si>
  <si>
    <t xml:space="preserve">https://kubernetes-dashboard.apps.pro.aws.bancsabadell.com/#/configmap/pro-ns-inf/ms-infra-ai-storage-tools-micros-py-configs?namespace=pro-ns-inf</t>
  </si>
  <si>
    <t xml:space="preserve">ms-infra-security-cds</t>
  </si>
  <si>
    <t xml:space="preserve">ms-infra-security-cds-micros-app-configs</t>
  </si>
  <si>
    <t xml:space="preserve">artifactory.apps.devops.aws.bancsabadell.com/p4-virtual/p4des/ms-infra-security-cds:1.0.19</t>
  </si>
  <si>
    <t xml:space="preserve">ms-infra-security-cds-p4ms</t>
  </si>
  <si>
    <t xml:space="preserve">proteo4.architecture@sabis.tech</t>
  </si>
  <si>
    <t xml:space="preserve">https://bitbucket.apps.devops.aws.bancsabadell.com/scm/p4des/ms-infra-security-cds.git</t>
  </si>
  <si>
    <t xml:space="preserve">1.0.19</t>
  </si>
  <si>
    <t xml:space="preserve">1.4.0</t>
  </si>
  <si>
    <t xml:space="preserve">https://kubernetes-dashboard.apps.pro.aws.bancsabadell.com/#/configmap/pro-ns-inf/ms-infra-security-cds-micros-app-configs?namespace=pro-ns-inf</t>
  </si>
  <si>
    <t xml:space="preserve">ms-infra-antivirus</t>
  </si>
  <si>
    <t xml:space="preserve">ms-infra-antivirus-micros-app-configs</t>
  </si>
  <si>
    <t xml:space="preserve">artifactory.apps.devops.aws.bancsabadell.com/p4-virtual/p4des/ms-infra-antivirus:2.4.0</t>
  </si>
  <si>
    <t xml:space="preserve">ms-infra-antivirus-p4ms</t>
  </si>
  <si>
    <t xml:space="preserve">https://bitbucket.apps.devops.aws.bancsabadell.com/scm/p4des/ms-infra-antivirus.git</t>
  </si>
  <si>
    <t xml:space="preserve">2.4.0</t>
  </si>
  <si>
    <t xml:space="preserve">https://kubernetes-dashboard.apps.pro.aws.bancsabadell.com/#/configmap/pro-ns-inf/ms-infra-antivirus-micros-app-configs?namespace=pro-ns-inf</t>
  </si>
  <si>
    <t xml:space="preserve">ms-infra-document-manager</t>
  </si>
  <si>
    <t xml:space="preserve">ms-infra-document-manager-micros-app-configs</t>
  </si>
  <si>
    <t xml:space="preserve">artifactory.apps.devops.aws.bancsabadell.com/p4-virtual/p4des/ms-infra-document-manager:2.10.0</t>
  </si>
  <si>
    <t xml:space="preserve">ms-infra-document-manager-p4ms</t>
  </si>
  <si>
    <t xml:space="preserve">0901oficinatecnicaproteo.spain@bancsabadell.com</t>
  </si>
  <si>
    <t xml:space="preserve">https://bitbucket.apps.devops.aws.bancsabadell.com/scm/p4des/ms-infra-document-manager.git</t>
  </si>
  <si>
    <t xml:space="preserve">2.10.0</t>
  </si>
  <si>
    <t xml:space="preserve">1.9.0</t>
  </si>
  <si>
    <t xml:space="preserve">https://kubernetes-dashboard.apps.pro.aws.bancsabadell.com/#/configmap/pro-ns-inf/ms-infra-document-manager-micros-app-configs?namespace=pro-ns-inf</t>
  </si>
  <si>
    <t xml:space="preserve">ms-infra-correspondence-emails</t>
  </si>
  <si>
    <t xml:space="preserve">ms-infra-correspondence-emails-micros-app-configs</t>
  </si>
  <si>
    <t xml:space="preserve">artifactory.apps.devops.aws.bancsabadell.com/p4-virtual/p4des/ms-infra-correspondence-emails:1.9.13</t>
  </si>
  <si>
    <t xml:space="preserve">ms-infra-correspondence-emails-p4ms</t>
  </si>
  <si>
    <t xml:space="preserve">V</t>
  </si>
  <si>
    <t xml:space="preserve">https://bitbucket.apps.devops.aws.bancsabadell.com/scm/p4des/ms-infra-correspondence-emails.git</t>
  </si>
  <si>
    <t xml:space="preserve">1.9.13</t>
  </si>
  <si>
    <t xml:space="preserve">1.8.13</t>
  </si>
  <si>
    <t xml:space="preserve">https://kubernetes-dashboard.apps.pro.aws.bancsabadell.com/#/configmap/pro-ns-inf/ms-infra-correspondence-emails-micros-app-configs?namespace=pro-ns-inf</t>
  </si>
  <si>
    <t xml:space="preserve">ms-storage-manager</t>
  </si>
  <si>
    <t xml:space="preserve">ms-storage-manager-micros-app-configs</t>
  </si>
  <si>
    <t xml:space="preserve">artifactory.apps.devops.aws.bancsabadell.com/p4-virtual/p4des/ms-storage-manager:3.4.0</t>
  </si>
  <si>
    <t xml:space="preserve">ms-storage-manager-p4ms</t>
  </si>
  <si>
    <t xml:space="preserve">a</t>
  </si>
  <si>
    <t xml:space="preserve">https://bitbucket.apps.devops.aws.bancsabadell.com/scm/p4des/ms-storage-manager.git</t>
  </si>
  <si>
    <t xml:space="preserve">3.4.0</t>
  </si>
  <si>
    <t xml:space="preserve">2.1.13</t>
  </si>
  <si>
    <t xml:space="preserve">https://kubernetes-dashboard.apps.pro.aws.bancsabadell.com/#/configmap/pro-ns-inf/ms-storage-manager-micros-app-configs?namespace=pro-ns-inf</t>
  </si>
  <si>
    <t xml:space="preserve">ms-infra-security-jwt</t>
  </si>
  <si>
    <t xml:space="preserve">ms-infra-security-jwt-micros-app-configs</t>
  </si>
  <si>
    <t xml:space="preserve">artifactory.apps.devops.aws.bancsabadell.com/p4-virtual/pp4sec/ms-infra-security-jwt:2.0.3</t>
  </si>
  <si>
    <t xml:space="preserve">ms-infra-security-jwt-p4ms</t>
  </si>
  <si>
    <t xml:space="preserve">jfcardenas@paradigmadigital.com</t>
  </si>
  <si>
    <t xml:space="preserve">https://bitbucket.apps.devops.aws.bancsabadell.com/scm/PP4SEC/ms-infra-security-jwt.git</t>
  </si>
  <si>
    <t xml:space="preserve">3.5.0</t>
  </si>
  <si>
    <t xml:space="preserve">https://kubernetes-dashboard.apps.pro.aws.bancsabadell.com/#/configmap/pro-ns-inf/ms-infra-security-jwt-micros-app-configs?namespace=pro-ns-inf</t>
  </si>
  <si>
    <t xml:space="preserve">ms-infra-jwt-partners</t>
  </si>
  <si>
    <t xml:space="preserve">ms-infra-jwt-partners-micros-app-configs</t>
  </si>
  <si>
    <t xml:space="preserve">artifactory.apps.devops.aws.bancsabadell.com/p4-virtual/pp4sec/ms-infra-jwt-partners:2.0.2</t>
  </si>
  <si>
    <t xml:space="preserve">ms-infra-jwt-partners-p4ms</t>
  </si>
  <si>
    <t xml:space="preserve">https://bitbucket.apps.devops.aws.bancsabadell.com/scm/PP4SEC/ms-infra-jwt-partners.git</t>
  </si>
  <si>
    <t xml:space="preserve">https://kubernetes-dashboard.apps.pro.aws.bancsabadell.com/#/configmap/pro-ns-inf/ms-infra-jwt-partners-micros-app-configs?namespace=pro-ns-inf</t>
  </si>
  <si>
    <t xml:space="preserve">ms-storage-dms</t>
  </si>
  <si>
    <t xml:space="preserve">ms-storage-dms-micros-app-configs</t>
  </si>
  <si>
    <t xml:space="preserve">artifactory.apps.devops.aws.bancsabadell.com/p4-virtual/p4des/ms-storage-dms:2.2.1</t>
  </si>
  <si>
    <t xml:space="preserve">ms-storage-dms-p4ms</t>
  </si>
  <si>
    <t xml:space="preserve">https://bitbucket.apps.devops.aws.bancsabadell.com/scm/p4des/ms-storage-dms.git</t>
  </si>
  <si>
    <t xml:space="preserve">2.2.1</t>
  </si>
  <si>
    <t xml:space="preserve">1.6.4</t>
  </si>
  <si>
    <t xml:space="preserve">https://kubernetes-dashboard.apps.pro.aws.bancsabadell.com/#/configmap/pro-ns-inf/ms-storage-dms-micros-app-configs?namespace=pro-ns-inf</t>
  </si>
  <si>
    <t xml:space="preserve">ms-infra-ai-orchestrator</t>
  </si>
  <si>
    <t xml:space="preserve">ms-infra-ai-orchestrator-micros-py-configs</t>
  </si>
  <si>
    <t xml:space="preserve">artifactory.apps.devops.aws.bancsabadell.com/p4-virtual/ms-infra-ai-orchestrator:1.5.1</t>
  </si>
  <si>
    <t xml:space="preserve">ms-infra-ai-orchestrator-p4mspy</t>
  </si>
  <si>
    <t xml:space="preserve">carlos.frutos@quant.global</t>
  </si>
  <si>
    <t xml:space="preserve">http://repos.bancsabadell.com/bitbucket/scm/essab_p4_ai/ms-ai-orchestrator-engine.git</t>
  </si>
  <si>
    <t xml:space="preserve">1.5.1</t>
  </si>
  <si>
    <t xml:space="preserve">1.5.0</t>
  </si>
  <si>
    <t xml:space="preserve">https://kubernetes-dashboard.apps.pro.aws.bancsabadell.com/#/configmap/pro-ns-inf/ms-infra-ai-orchestrator-micros-py-configs?namespace=pro-ns-inf</t>
  </si>
  <si>
    <t xml:space="preserve">ms-storage-api</t>
  </si>
  <si>
    <t xml:space="preserve">ms-storage-api-micros-app-configs</t>
  </si>
  <si>
    <t xml:space="preserve">artifactory.apps.devops.aws.bancsabadell.com/p4-virtual/p4des/ms-storage-api:2.3.0</t>
  </si>
  <si>
    <t xml:space="preserve">ms-storage-api-p4ms</t>
  </si>
  <si>
    <t xml:space="preserve">https://bitbucket.apps.devops.aws.bancsabadell.com/scm/p4des/ms-storage-api.git</t>
  </si>
  <si>
    <t xml:space="preserve">2.3.0</t>
  </si>
  <si>
    <t xml:space="preserve">https://kubernetes-dashboard.apps.pro.aws.bancsabadell.com/#/configmap/pro-ns-inf/ms-storage-api-micros-app-configs?namespace=pro-ns-inf</t>
  </si>
  <si>
    <t xml:space="preserve">ms-infra-doc-generator</t>
  </si>
  <si>
    <t xml:space="preserve">ms-infra-doc-generator-micros-app-configs</t>
  </si>
  <si>
    <t xml:space="preserve">artifactory.apps.devops.aws.bancsabadell.com/p4-virtual/p4des/ms-infra-doc-generator:1.5.1</t>
  </si>
  <si>
    <t xml:space="preserve">ms-infra-doc-generator-p4ms</t>
  </si>
  <si>
    <t xml:space="preserve">https://bitbucket.apps.devops.aws.bancsabadell.com/scm/p4des/ms-infra-doc-generator.git</t>
  </si>
  <si>
    <t xml:space="preserve">1.12.0</t>
  </si>
  <si>
    <t xml:space="preserve">1.16.0</t>
  </si>
  <si>
    <t xml:space="preserve">https://kubernetes-dashboard.apps.pro.aws.bancsabadell.com/#/configmap/pro-ns-inf/ms-infra-doc-generator-micros-app-configs?namespace=pro-ns-inf</t>
  </si>
  <si>
    <t xml:space="preserve">ms-infra-userinfo-clients</t>
  </si>
  <si>
    <t xml:space="preserve">ms-infra-userinfo-clients-micros-app-configs</t>
  </si>
  <si>
    <t xml:space="preserve">artifactory.apps.devops.aws.bancsabadell.com/p4-virtual/pp4sec/ms-infra-userinfo-clients:0.0.14</t>
  </si>
  <si>
    <t xml:space="preserve">ms-infra-userinfo-clients-p4ms</t>
  </si>
  <si>
    <t xml:space="preserve">vmmerayo@paradigmadigital.com</t>
  </si>
  <si>
    <t xml:space="preserve">https://bitbucket.apps.devops.aws.bancsabadell.com/scm/pp4sec/ms-infra-userinfo-clients.git</t>
  </si>
  <si>
    <t xml:space="preserve">0.0.14</t>
  </si>
  <si>
    <t xml:space="preserve">0.6.12</t>
  </si>
  <si>
    <t xml:space="preserve">1.16.1</t>
  </si>
  <si>
    <t xml:space="preserve">https://kubernetes-dashboard.apps.pro.aws.bancsabadell.com/#/configmap/pro-ns-inf/ms-infra-userinfo-clients-micros-app-configs?namespace=pro-ns-inf</t>
  </si>
  <si>
    <t xml:space="preserve">ms-infra-rsa-fraud-adapter</t>
  </si>
  <si>
    <t xml:space="preserve">ms-infra-rsa-fraud-adapter-micros-app-configs</t>
  </si>
  <si>
    <t xml:space="preserve">artifactory.apps.devops.aws.bancsabadell.com/p4-virtual/p4des/ms-infra-rsa-fraud-adapter:1.3.0</t>
  </si>
  <si>
    <t xml:space="preserve">ms-infra-rsa-fraud-adapter-p4ms</t>
  </si>
  <si>
    <t xml:space="preserve">alfredo.miguel.estevez.mendez@nttdata.com</t>
  </si>
  <si>
    <t xml:space="preserve">https://bitbucket.apps.devops.aws.bancsabadell.com/scm/p4des/ms-infra-rsa-fraud-adapter.git</t>
  </si>
  <si>
    <t xml:space="preserve">1.2.0</t>
  </si>
  <si>
    <t xml:space="preserve">3.9.4</t>
  </si>
  <si>
    <t xml:space="preserve">https://kubernetes-dashboard.apps.pro.aws.bancsabadell.com/#/configmap/pro-ns-inf/ms-infra-rsa-fraud-adapter-micros-app-configs?namespace=pro-ns-inf</t>
  </si>
  <si>
    <t xml:space="preserve">ms-rsa-fraud-gw</t>
  </si>
  <si>
    <t xml:space="preserve">ms-rsa-fraud-gw-micros-app-configs</t>
  </si>
  <si>
    <t xml:space="preserve">artifactory.apps.devops.aws.bancsabadell.com/p4-virtual/p4des/ms-rsa-fraud-gw:1.2.3</t>
  </si>
  <si>
    <t xml:space="preserve">ms-rsa-fraud-gw-p4ms</t>
  </si>
  <si>
    <t xml:space="preserve">cjruiz.ext@paradigmadigital.com</t>
  </si>
  <si>
    <t xml:space="preserve">https://bitbucket.apps.devops.aws.bancsabadell.com/scm/P4DES/ms-rsa-fraud-gw.git</t>
  </si>
  <si>
    <t xml:space="preserve">1.10.0</t>
  </si>
  <si>
    <t xml:space="preserve">https://kubernetes-dashboard.apps.pro.aws.bancsabadell.com/#/configmap/pro-ns-inf/ms-rsa-fraud-gw-micros-app-configs?namespace=pro-ns-inf</t>
  </si>
  <si>
    <t xml:space="preserve">ms-infra-jwt-employees</t>
  </si>
  <si>
    <t xml:space="preserve">ms-infra-jwt-employees-micros-app-configs</t>
  </si>
  <si>
    <t xml:space="preserve">artifactory.apps.devops.aws.bancsabadell.com/p4-virtual/pp4sec/ms-infra-jwt-employees:2.0.2</t>
  </si>
  <si>
    <t xml:space="preserve">ms-infra-jwt-employees-p4ms</t>
  </si>
  <si>
    <t xml:space="preserve">https://bitbucket.apps.devops.aws.bancsabadell.com/scm/PP4SEC/ms-infra-jwt-employees.git</t>
  </si>
  <si>
    <t xml:space="preserve">https://kubernetes-dashboard.apps.pro.aws.bancsabadell.com/#/configmap/pro-ns-inf/ms-infra-jwt-employees-micros-app-configs?namespace=pro-ns-inf</t>
  </si>
  <si>
    <t xml:space="preserve">ms-infra-ai-file-processor</t>
  </si>
  <si>
    <t xml:space="preserve">ms-infra-ai-file-processor-micros-py-configs</t>
  </si>
  <si>
    <t xml:space="preserve">artifactory.apps.devops.aws.bancsabadell.com/p4-virtual/ms-infra-ai-file-processor:1.5.5</t>
  </si>
  <si>
    <t xml:space="preserve">ms-infra-ai-file-processor-p4mspy</t>
  </si>
  <si>
    <t xml:space="preserve">http://repos.bancsabadell.com/bitbucket/scm/ESSAB_P4_AI/ms-ai-file-processor-engine.git</t>
  </si>
  <si>
    <t xml:space="preserve">1.5.5</t>
  </si>
  <si>
    <t xml:space="preserve">https://kubernetes-dashboard.apps.pro.aws.bancsabadell.com/#/configmap/pro-ns-inf/ms-infra-ai-file-processor-micros-py-configs?namespace=pro-ns-inf</t>
  </si>
  <si>
    <t xml:space="preserve">ms-infra-geolocation</t>
  </si>
  <si>
    <t xml:space="preserve">ms-infra-geolocation-micros-app-configs</t>
  </si>
  <si>
    <t xml:space="preserve">artifactory.apps.devops.aws.bancsabadell.com/p4-virtual/p4des/ms-infra-geolocation:2.5.0</t>
  </si>
  <si>
    <t xml:space="preserve">ms-infra-geolocation-p4ms</t>
  </si>
  <si>
    <t xml:space="preserve">http://repos.bancsabadell.com/bitbucket/scm/p4des/ms-infra-geoloc.git</t>
  </si>
  <si>
    <t xml:space="preserve">2.5.0</t>
  </si>
  <si>
    <t xml:space="preserve">2.7.0</t>
  </si>
  <si>
    <t xml:space="preserve">https://kubernetes-dashboard.apps.pro.aws.bancsabadell.com/#/configmap/pro-ns-inf/ms-infra-geolocation-micros-app-configs?namespace=pro-ns-inf</t>
  </si>
  <si>
    <t xml:space="preserve">ms-infra-ai-knowledge-engine</t>
  </si>
  <si>
    <t xml:space="preserve">ms-infra-ai-knowledge-engine-micros-py-configs</t>
  </si>
  <si>
    <t xml:space="preserve">artifactory.apps.devops.aws.bancsabadell.com/p4-virtual/ms-infra-ai-knowledge-engine:1.1.3</t>
  </si>
  <si>
    <t xml:space="preserve">ms-infra-ai-knowledge-engine-p4mspy</t>
  </si>
  <si>
    <t xml:space="preserve">http://repos.bancsabadell.com/bitbucket/scm/ESSAB_P4_AI/ms-infra-ai-knowledge-engine.git</t>
  </si>
  <si>
    <t xml:space="preserve">1.0.20</t>
  </si>
  <si>
    <t xml:space="preserve">https://kubernetes-dashboard.apps.pro.aws.bancsabadell.com/#/configmap/pro-ns-inf/ms-infra-ai-knowledge-engine-micros-py-configs?namespace=pro-ns-inf</t>
  </si>
  <si>
    <t xml:space="preserve">ms-storage-intercam</t>
  </si>
  <si>
    <t xml:space="preserve">ms-storage-intercam-micros-app-configs</t>
  </si>
  <si>
    <t xml:space="preserve">artifactory.apps.devops.aws.bancsabadell.com/p4-virtual/p4des/ms-storage-intercam:1.4.0</t>
  </si>
  <si>
    <t xml:space="preserve">ms-storage-intercam-p4ms</t>
  </si>
  <si>
    <t xml:space="preserve">https://bitbucket.apps.devops.aws.bancsabadell.com/scm/p4des/ms-storage-intercam.git</t>
  </si>
  <si>
    <t xml:space="preserve">2.0.0</t>
  </si>
  <si>
    <t xml:space="preserve">https://kubernetes-dashboard.apps.pro.aws.bancsabadell.com/#/configmap/pro-ns-inf/ms-storage-intercam-micros-app-configs?namespace=pro-ns-inf</t>
  </si>
  <si>
    <t xml:space="preserve">ms-infra-bot-idp</t>
  </si>
  <si>
    <t xml:space="preserve">ms-infra-bot-idp-micros-app-configs</t>
  </si>
  <si>
    <t xml:space="preserve">artifactory.apps.devops.aws.bancsabadell.com/p4-virtual/pp4sec/ms-infra-bot-idp:1.3.9</t>
  </si>
  <si>
    <t xml:space="preserve">ms-infra-bot-idp-p4ms</t>
  </si>
  <si>
    <t xml:space="preserve">https://bitbucket.apps.devops.aws.bancsabadell.com/scm/PP4SEC/ms-infra-bot-idp.git</t>
  </si>
  <si>
    <t xml:space="preserve">1.3.9</t>
  </si>
  <si>
    <t xml:space="preserve">1.3.7</t>
  </si>
  <si>
    <t xml:space="preserve">https://kubernetes-dashboard.apps.pro.aws.bancsabadell.com/#/configmap/pro-ns-inf/ms-infra-bot-idp-micros-app-configs?namespace=pro-ns-inf</t>
  </si>
  <si>
    <t xml:space="preserve">ms-infra-biocatch-fraud-adapter</t>
  </si>
  <si>
    <t xml:space="preserve">ms-infra-biocatch-fraud-adapter-micros-app-configs</t>
  </si>
  <si>
    <t xml:space="preserve">artifactory.apps.devops.aws.bancsabadell.com/p4-virtual/p4des/ms-infra-biocatch-fraud-adapter:1.4.2</t>
  </si>
  <si>
    <t xml:space="preserve">ms-infra-biocatch-fraud-adapter-p4ms</t>
  </si>
  <si>
    <t xml:space="preserve">https://bitbucket.apps.devops.aws.bancsabadell.com/scm/p4des/ms-infra-biocatch-fraud-adapter.git</t>
  </si>
  <si>
    <t xml:space="preserve">1.4.2</t>
  </si>
  <si>
    <t xml:space="preserve">https://kubernetes-dashboard.apps.pro.aws.bancsabadell.com/#/configmap/pro-ns-inf/ms-infra-biocatch-fraud-adapter-micros-app-configs?namespace=pro-ns-inf</t>
  </si>
  <si>
    <t xml:space="preserve">ns-batch</t>
  </si>
  <si>
    <t xml:space="preserve">ms-batch-connected-client</t>
  </si>
  <si>
    <t xml:space="preserve">ms-batch-connected-client-micros-app-configs</t>
  </si>
  <si>
    <t xml:space="preserve">artifactory.apps.devops.aws.bancsabadell.com/p4-virtual/essabconnectedclient/ms-batch-connected-client:1.1.6</t>
  </si>
  <si>
    <t xml:space="preserve">ms-batch-connected-client-p4ms</t>
  </si>
  <si>
    <t xml:space="preserve">mastete@dxc.com</t>
  </si>
  <si>
    <t xml:space="preserve">http://repos.bancsabadell.com/bitbucket/scm/ESSABCONNECTEDCLIENT/ms-batch-connected-client.git</t>
  </si>
  <si>
    <t xml:space="preserve">https://kubernetes-dashboard.apps.pro.aws.bancsabadell.com/#/configmap/pro-ns-batch/ms-batch-connected-client-micros-app-configs?namespace=pro-ns-batch</t>
  </si>
  <si>
    <t xml:space="preserve">ms-batch-payment-rail-operations-iberpay</t>
  </si>
  <si>
    <t xml:space="preserve">ms-batch-payment-rail-operations-iberpay-micros-app-configs</t>
  </si>
  <si>
    <t xml:space="preserve">artifactory.apps.devops.aws.bancsabadell.com/p4-virtual/p4cp/ms-batch-payment-rail-operations-iberpay:0.4.1</t>
  </si>
  <si>
    <t xml:space="preserve">ms-batch-payment-rail-operations-iberpay-p4ms</t>
  </si>
  <si>
    <t xml:space="preserve">a.annasaheb.bandai@accenture.com</t>
  </si>
  <si>
    <t xml:space="preserve">http://repos.bancsabadell.com/bitbucket/scm/p4cp/ms-batch-payment-rail-operations-iberpay.git</t>
  </si>
  <si>
    <t xml:space="preserve">0.4.1</t>
  </si>
  <si>
    <t xml:space="preserve">https://kubernetes-dashboard.apps.pro.aws.bancsabadell.com/#/configmap/pro-ns-batch/ms-batch-payment-rail-operations-iberpay-micros-app-configs?namespace=pro-ns-batch</t>
  </si>
  <si>
    <t xml:space="preserve">ms-batch-notifications-hub-scheduler-tasks</t>
  </si>
  <si>
    <t xml:space="preserve">ms-batch-notifications-hub-scheduler-tasks-micros-app-configs</t>
  </si>
  <si>
    <t xml:space="preserve">artifactory.apps.devops.aws.bancsabadell.com/p4-virtual/p4des/ms-batch-notifications-hub-scheduler-tasks:1.0.3</t>
  </si>
  <si>
    <t xml:space="preserve">ms-batch-notifications-hub-scheduler-tasks-p4ms</t>
  </si>
  <si>
    <t xml:space="preserve">dserrano@paradigmadigital.com</t>
  </si>
  <si>
    <t xml:space="preserve">https://bitbucket.apps.devops.aws.bancsabadell.com/scm/P4DES/ms-batch-notifications-hub-scheduler-tasks.git</t>
  </si>
  <si>
    <t xml:space="preserve">https://kubernetes-dashboard.apps.pro.aws.bancsabadell.com/#/configmap/pro-ns-batch/ms-batch-notifications-hub-scheduler-tasks-micros-app-configs?namespace=pro-ns-batch</t>
  </si>
  <si>
    <t xml:space="preserve">ms-batch-callcenter-data-download</t>
  </si>
  <si>
    <t xml:space="preserve">ms-batch-callcenter-data-download-micros-app-configs</t>
  </si>
  <si>
    <t xml:space="preserve">artifactory.apps.devops.aws.bancsabadell.com/p4-virtual/p4des/ms-batch-callcenter-data-download:3.8.2</t>
  </si>
  <si>
    <t xml:space="preserve">ms-batch-callcenter-data-download-p4ms</t>
  </si>
  <si>
    <t xml:space="preserve">https://bitbucket.apps.devops.aws.bancsabadell.com/scm/p4des/ms-batch-callcenter-data-download.git</t>
  </si>
  <si>
    <t xml:space="preserve">3.8.2</t>
  </si>
  <si>
    <t xml:space="preserve">6.0.9</t>
  </si>
  <si>
    <t xml:space="preserve">3.7.2</t>
  </si>
  <si>
    <t xml:space="preserve">https://kubernetes-dashboard.apps.pro.aws.bancsabadell.com/#/configmap/pro-ns-batch/ms-batch-callcenter-data-download-micros-app-configs?namespace=pro-ns-batch</t>
  </si>
  <si>
    <t xml:space="preserve">ms-batch-scheduler-geolocation</t>
  </si>
  <si>
    <t xml:space="preserve">ms-batch-scheduler-geolocation-micros-app-configs</t>
  </si>
  <si>
    <t xml:space="preserve">artifactory.apps.devops.aws.bancsabadell.com/p4-virtual/p4des/ms-batch-scheduler-geolocation:3.5.0</t>
  </si>
  <si>
    <t xml:space="preserve">ms-batch-scheduler-geolocation-p4ms</t>
  </si>
  <si>
    <t xml:space="preserve">p4ms-0.15.7</t>
  </si>
  <si>
    <t xml:space="preserve">http://repos.bancsabadell.com/bitbucket/scm/p4des/ms-batch-scheduler-geolocation.git</t>
  </si>
  <si>
    <t xml:space="preserve">2.9.0</t>
  </si>
  <si>
    <t xml:space="preserve">https://kubernetes-dashboard.apps.pro.aws.bancsabadell.com/#/configmap/pro-ns-batch/ms-batch-scheduler-geolocation-micros-app-configs?namespace=pro-ns-batch</t>
  </si>
  <si>
    <t xml:space="preserve">ms-batch-fraud-notification-redsys</t>
  </si>
  <si>
    <t xml:space="preserve">ms-batch-fraud-notification-redsys-micros-app-configs</t>
  </si>
  <si>
    <t xml:space="preserve">artifactory.apps.devops.aws.bancsabadell.com/p4-virtual/p4cp/ms-batch-fraud-notification-redsys:1.0.1</t>
  </si>
  <si>
    <t xml:space="preserve">ms-batch-fraud-notification-redsys-p4ms</t>
  </si>
  <si>
    <t xml:space="preserve">a.pradip.kotkar@accenture.com</t>
  </si>
  <si>
    <t xml:space="preserve">http://repos.bancsabadell.com/bitbucket/scm/P4CP/ms-batch-fraud-notification-redsys.git</t>
  </si>
  <si>
    <t xml:space="preserve">https://kubernetes-dashboard.apps.pro.aws.bancsabadell.com/#/configmap/pro-ns-batch/ms-batch-fraud-notification-redsys-micros-app-configs?namespace=pro-ns-batch</t>
  </si>
  <si>
    <t xml:space="preserve">ms-batch-async-cgpj</t>
  </si>
  <si>
    <t xml:space="preserve">ms-batch-async-cgpj-micros-app-configs</t>
  </si>
  <si>
    <t xml:space="preserve">artifactory.apps.devops.aws.bancsabadell.com/p4-virtual/poojj/ms-batch-async-cgpj:1.7.1</t>
  </si>
  <si>
    <t xml:space="preserve">ms-batch-async-cgpj-p4ms</t>
  </si>
  <si>
    <t xml:space="preserve">etika.rastogi@accenture.com</t>
  </si>
  <si>
    <t xml:space="preserve">http://repos.bancsabadell.com/bitbucket/scm/POOJJ/ms-batch-async-cgpj.git</t>
  </si>
  <si>
    <t xml:space="preserve">1.7.1</t>
  </si>
  <si>
    <t xml:space="preserve">1.1.0</t>
  </si>
  <si>
    <t xml:space="preserve">https://kubernetes-dashboard.apps.pro.aws.bancsabadell.com/#/configmap/pro-ns-batch/ms-batch-async-cgpj-micros-app-configs?namespace=pro-ns-batch</t>
  </si>
  <si>
    <t xml:space="preserve">ms-batch-balance-list-redsys</t>
  </si>
  <si>
    <t xml:space="preserve">ms-batch-balance-list-redsys-micros-app-configs</t>
  </si>
  <si>
    <t xml:space="preserve">artifactory.apps.devops.aws.bancsabadell.com/p4-virtual/p4cp/ms-batch-balance-list-redsys:1.0.2</t>
  </si>
  <si>
    <t xml:space="preserve">ms-batch-balance-list-redsys-p4ms</t>
  </si>
  <si>
    <t xml:space="preserve">http://repos.bancsabadell.com/bitbucket/scm/p4cp/ms-batch-balance-list-redsys.git</t>
  </si>
  <si>
    <t xml:space="preserve">1.0.4</t>
  </si>
  <si>
    <t xml:space="preserve">https://kubernetes-dashboard.apps.pro.aws.bancsabadell.com/#/configmap/pro-ns-batch/ms-batch-balance-list-redsys-micros-app-configs?namespace=pro-ns-batch</t>
  </si>
  <si>
    <t xml:space="preserve">ms-batch-tasaciones-anonymizer</t>
  </si>
  <si>
    <t xml:space="preserve">ms-batch-tasaciones-anonymizer-micros-app-configs</t>
  </si>
  <si>
    <t xml:space="preserve">artifactory.apps.devops.aws.bancsabadell.com/p4-virtual/p4cp/ms-batch-tasaciones-anonymizer:1.0.0</t>
  </si>
  <si>
    <t xml:space="preserve">ms-batch-tasaciones-anonymizer-p4ms</t>
  </si>
  <si>
    <t xml:space="preserve">shubham.kayastha@accenture.com</t>
  </si>
  <si>
    <t xml:space="preserve">http://repos.bancsabadell.com/bitbucket/scm/P4CP/ms-batch-tasaciones-anonymizer.git</t>
  </si>
  <si>
    <t xml:space="preserve">https://kubernetes-dashboard.apps.pro.aws.bancsabadell.com/#/configmap/pro-ns-batch/ms-batch-tasaciones-anonymizer-micros-app-configs?namespace=pro-ns-batch</t>
  </si>
  <si>
    <t xml:space="preserve">ms-batch-certificate-positions-email-sender</t>
  </si>
  <si>
    <t xml:space="preserve">ms-batch-certificate-positions-email-sender-micros-app-configs</t>
  </si>
  <si>
    <t xml:space="preserve">artifactory.apps.devops.aws.bancsabadell.com/p4-virtual/p4cp/ms-batch-certificate-positions-email-sender:1.0.2</t>
  </si>
  <si>
    <t xml:space="preserve">ms-batch-certificate-positions-email-sender-p4ms</t>
  </si>
  <si>
    <t xml:space="preserve">ankita.anjali@accenture.com</t>
  </si>
  <si>
    <t xml:space="preserve">http://repos.bancsabadell.com/bitbucket/scm/P4CP/ms-batch-certificate-positions-email-sender.git</t>
  </si>
  <si>
    <t xml:space="preserve">https://kubernetes-dashboard.apps.pro.aws.bancsabadell.com/#/configmap/pro-ns-batch/ms-batch-certificate-positions-email-sender-micros-app-configs?namespace=pro-ns-batch</t>
  </si>
  <si>
    <t xml:space="preserve">ms-batch-bscapital-integracion-gesinmu</t>
  </si>
  <si>
    <t xml:space="preserve">ms-batch-bscapital-integracion-gesinmu-micros-app-configs</t>
  </si>
  <si>
    <t xml:space="preserve">artifactory.apps.devops.aws.bancsabadell.com/p4-virtual/bscapital/ms-batch-bscapital-integracion-gesinmu:1.0.0</t>
  </si>
  <si>
    <t xml:space="preserve">ms-batch-bscapital-integracion-gesinmu-p4ms</t>
  </si>
  <si>
    <t xml:space="preserve">luismiguel.gonzalez@dxc.com</t>
  </si>
  <si>
    <t xml:space="preserve">http://repos.bancsabadell.com/bitbucket/scm/BSCAPITAL/ms-batch-bscapital-integracion-gesinmu.git</t>
  </si>
  <si>
    <t xml:space="preserve">3.3.0</t>
  </si>
  <si>
    <t xml:space="preserve">https://kubernetes-dashboard.apps.pro.aws.bancsabadell.com/#/configmap/pro-ns-batch/ms-batch-bscapital-integracion-gesinmu-micros-app-configs?namespace=pro-ns-batch</t>
  </si>
  <si>
    <t xml:space="preserve">ms-batch-procesamiento-om196</t>
  </si>
  <si>
    <t xml:space="preserve">ms-batch-procesamiento-om196-micros-app-configs</t>
  </si>
  <si>
    <t xml:space="preserve">artifactory.apps.devops.aws.bancsabadell.com/p4-virtual/p4cp/ms-batch-procesamiento-om196:1.0.8</t>
  </si>
  <si>
    <t xml:space="preserve">ms-batch-procesamiento-om196-p4ms</t>
  </si>
  <si>
    <t xml:space="preserve">p4ms-1.1.27</t>
  </si>
  <si>
    <t xml:space="preserve">http://repos.bancsabadell.com/bitbucket/scm/p4cp/ms-batch-procesamiento-om196.git</t>
  </si>
  <si>
    <t xml:space="preserve">https://kubernetes-dashboard.apps.pro.aws.bancsabadell.com/#/configmap/pro-ns-batch/ms-batch-procesamiento-om196-micros-app-configs?namespace=pro-ns-batch</t>
  </si>
  <si>
    <t xml:space="preserve">ms-batch-notifications-hub-scheduler</t>
  </si>
  <si>
    <t xml:space="preserve">ms-batch-notifications-hub-scheduler-micros-app-configs</t>
  </si>
  <si>
    <t xml:space="preserve">artifactory.apps.devops.aws.bancsabadell.com/p4-virtual/p4des/ms-batch-notifications-hub-scheduler:1.0.2</t>
  </si>
  <si>
    <t xml:space="preserve">ms-batch-notifications-hub-scheduler-p4ms</t>
  </si>
  <si>
    <t xml:space="preserve">https://bitbucket.apps.devops.aws.bancsabadell.com/scm/P4DES/ms-batch-notifications-hub-scheduler.git</t>
  </si>
  <si>
    <t xml:space="preserve">https://kubernetes-dashboard.apps.pro.aws.bancsabadell.com/#/configmap/pro-ns-batch/ms-batch-notifications-hub-scheduler-micros-app-configs?namespace=pro-ns-batch</t>
  </si>
  <si>
    <t xml:space="preserve">ms-batch-finest</t>
  </si>
  <si>
    <t xml:space="preserve">ms-batch-finest-micros-app-configs</t>
  </si>
  <si>
    <t xml:space="preserve">artifactory.apps.devops.aws.bancsabadell.com/p4-virtual/essabfinest/ms-batch-finest:1.1.4</t>
  </si>
  <si>
    <t xml:space="preserve">ms-batch-finest-p4ms</t>
  </si>
  <si>
    <t xml:space="preserve">http://repos.bancsabadell.com/bitbucket/scm/ESSABFINEST/ms-batch-finest.git</t>
  </si>
  <si>
    <t xml:space="preserve">https://kubernetes-dashboard.apps.pro.aws.bancsabadell.com/#/configmap/pro-ns-batch/ms-batch-finest-micros-app-configs?namespace=pro-ns-batch</t>
  </si>
  <si>
    <t xml:space="preserve">ms-batch-360-snowflake-extractor</t>
  </si>
  <si>
    <t xml:space="preserve">ms-batch-360-snowflake-extractor-micros-py-configs</t>
  </si>
  <si>
    <t xml:space="preserve">artifactory.apps.devops.aws.bancsabadell.com/p4-virtual/ms-batch-360-snowflake-extractor:1.0.3</t>
  </si>
  <si>
    <t xml:space="preserve">ms-batch-360-snowflake-extractor-p4mspy</t>
  </si>
  <si>
    <t xml:space="preserve">http://repos.bancsabadell.com/bitbucket/scm/ESIAINFO360/ms-batch-360-snowflake-extractor.git</t>
  </si>
  <si>
    <t xml:space="preserve">https://kubernetes-dashboard.apps.pro.aws.bancsabadell.com/#/configmap/pro-ns-batch/ms-batch-360-snowflake-extractor-micros-py-configs?namespace=pro-ns-batch</t>
  </si>
  <si>
    <t xml:space="preserve">ms-batch-sinfonia-processor</t>
  </si>
  <si>
    <t xml:space="preserve">ms-batch-sinfonia-processor-micros-app-configs</t>
  </si>
  <si>
    <t xml:space="preserve">artifactory.apps.devops.aws.bancsabadell.com/p4-virtual/p4cp/ms-batch-sinfonia-processor:1.0.4</t>
  </si>
  <si>
    <t xml:space="preserve">ms-batch-sinfonia-processor-p4ms</t>
  </si>
  <si>
    <t xml:space="preserve">http://repos.bancsabadell.com/bitbucket/scm/p4cp/ms-batch-sinfonia-processor.git</t>
  </si>
  <si>
    <t xml:space="preserve">https://kubernetes-dashboard.apps.pro.aws.bancsabadell.com/#/configmap/pro-ns-batch/ms-batch-sinfonia-processor-micros-app-configs?namespace=pro-ns-batch</t>
  </si>
  <si>
    <t xml:space="preserve">ms-batch-etl-geolocation</t>
  </si>
  <si>
    <t xml:space="preserve">ms-batch-etl-geolocation-micros-app-configs</t>
  </si>
  <si>
    <t xml:space="preserve">artifactory.apps.devops.aws.bancsabadell.com/p4-virtual/p4des/ms-batch-etl-geolocation:3.4.0</t>
  </si>
  <si>
    <t xml:space="preserve">ms-batch-etl-geolocation-p4ms</t>
  </si>
  <si>
    <t xml:space="preserve">http://repos.bancsabadell.com/bitbucket/scm/p4des/ms-batch-etl-geolocation.git</t>
  </si>
  <si>
    <t xml:space="preserve">https://kubernetes-dashboard.apps.pro.aws.bancsabadell.com/#/configmap/pro-ns-batch/ms-batch-etl-geolocation-micros-app-configs?namespace=pro-ns-batch</t>
  </si>
  <si>
    <t xml:space="preserve">ms-batch-informa-docu-pe</t>
  </si>
  <si>
    <t xml:space="preserve">ms-batch-informa-docu-pe-micros-app-configs</t>
  </si>
  <si>
    <t xml:space="preserve">artifactory.apps.devops.aws.bancsabadell.com/p4-virtual/info/ms-batch-informa-docu-pe:3.1.2</t>
  </si>
  <si>
    <t xml:space="preserve">ms-batch-informa-docu-pe-p4ms</t>
  </si>
  <si>
    <t xml:space="preserve">FOGN@GFT.COM</t>
  </si>
  <si>
    <t xml:space="preserve">http://repos.bancsabadell.com/bitbucket/scm/INFO/ms-batch-informa-docu-pe.git</t>
  </si>
  <si>
    <t xml:space="preserve">3.1.2</t>
  </si>
  <si>
    <t xml:space="preserve">2.0.4</t>
  </si>
  <si>
    <t xml:space="preserve">https://kubernetes-dashboard.apps.pro.aws.bancsabadell.com/#/configmap/pro-ns-batch/ms-batch-informa-docu-pe-micros-app-configs?namespace=pro-ns-batch</t>
  </si>
  <si>
    <t xml:space="preserve">ms-batch-adobe-entity-processor</t>
  </si>
  <si>
    <t xml:space="preserve">ms-batch-adobe-entity-processor-micros-app-configs</t>
  </si>
  <si>
    <t xml:space="preserve">artifactory.apps.devops.aws.bancsabadell.com/p4-virtual/p4cp/ms-batch-adobe-entity-processor:1.0.6</t>
  </si>
  <si>
    <t xml:space="preserve">ms-batch-adobe-entity-processor-p4ms</t>
  </si>
  <si>
    <t xml:space="preserve">Daniel.Gimenez.Verdugo@everis.com</t>
  </si>
  <si>
    <t xml:space="preserve">http://repos.bancsabadell.com/bitbucket/scm/p4cp/ms-batch-adobe-entity-processor.git</t>
  </si>
  <si>
    <t xml:space="preserve">https://kubernetes-dashboard.apps.pro.aws.bancsabadell.com/#/configmap/pro-ns-batch/ms-batch-adobe-entity-processor-micros-app-configs?namespace=pro-ns-batch</t>
  </si>
  <si>
    <t xml:space="preserve">ms-batch-inblock-upload</t>
  </si>
  <si>
    <t xml:space="preserve">ms-batch-inblock-upload-micros-app-configs</t>
  </si>
  <si>
    <t xml:space="preserve">artifactory.apps.devops.aws.bancsabadell.com/p4-virtual/p4cp/ms-batch-inblock-upload:1.0.1</t>
  </si>
  <si>
    <t xml:space="preserve">ms-batch-inblock-upload-p4ms</t>
  </si>
  <si>
    <t xml:space="preserve">seelan.cyrilraj@accenture.com</t>
  </si>
  <si>
    <t xml:space="preserve">http://repos.bancsabadell.com/bitbucket/scm/P4CP/ms-batch-inblock-upload.git</t>
  </si>
  <si>
    <t xml:space="preserve">3.9.1</t>
  </si>
  <si>
    <t xml:space="preserve">https://kubernetes-dashboard.apps.pro.aws.bancsabadell.com/#/configmap/pro-ns-batch/ms-batch-inblock-upload-micros-app-configs?namespace=pro-ns-batch</t>
  </si>
  <si>
    <t xml:space="preserve">ns-sys</t>
  </si>
  <si>
    <t xml:space="preserve">ms-sys-underwriting-system-pco</t>
  </si>
  <si>
    <t xml:space="preserve">ms-sys-underwriting-system-pco-micros-app-configs</t>
  </si>
  <si>
    <t xml:space="preserve">artifactory.apps.devops.aws.bancsabadell.com/p4-virtual/p4cp/ms-sys-underwriting-system-pco:1.6.84</t>
  </si>
  <si>
    <t xml:space="preserve">ms-sys-underwriting-system-pco-p4ms</t>
  </si>
  <si>
    <t xml:space="preserve">lprattis@minsait.com</t>
  </si>
  <si>
    <t xml:space="preserve">http://repos.bancsabadell.com/bitbucket/scm/P4CP/ms-sys-underwriting-system-pco.git</t>
  </si>
  <si>
    <t xml:space="preserve">1.6.84</t>
  </si>
  <si>
    <t xml:space="preserve">https://kubernetes-dashboard.apps.pro.aws.bancsabadell.com/#/configmap/pro-ns-sys/ms-sys-underwriting-system-pco-micros-app-configs?namespace=pro-ns-sys</t>
  </si>
  <si>
    <t xml:space="preserve">ms-sys-callcenter-data-processor</t>
  </si>
  <si>
    <t xml:space="preserve">ms-sys-callcenter-data-processor-micros-app-configs</t>
  </si>
  <si>
    <t xml:space="preserve">artifactory.apps.devops.aws.bancsabadell.com/p4-virtual/p4des/ms-sys-callcenter-data-processor:2.0.7</t>
  </si>
  <si>
    <t xml:space="preserve">ms-sys-callcenter-data-processor-p4ms</t>
  </si>
  <si>
    <t xml:space="preserve">https://bitbucket.apps.devops.aws.bancsabadell.com/scm/p4des/ms-sys-callcenter-data-processor.git</t>
  </si>
  <si>
    <t xml:space="preserve">https://kubernetes-dashboard.apps.pro.aws.bancsabadell.com/#/configmap/pro-ns-sys/ms-sys-callcenter-data-processor-micros-app-configs?namespace=pro-ns-sys</t>
  </si>
  <si>
    <t xml:space="preserve">ms-sys-current-account-dds-v1</t>
  </si>
  <si>
    <t xml:space="preserve">ms-sys-current-account-dds-v1-micros-app-configs</t>
  </si>
  <si>
    <t xml:space="preserve">artifactory.apps.devops.aws.bancsabadell.com/p4-virtual/mobi/ms-sys-current-account-dds-v1:1.5.2</t>
  </si>
  <si>
    <t xml:space="preserve">ms-sys-current-account-dds-v1-p4ms</t>
  </si>
  <si>
    <t xml:space="preserve">http://repos.bancsabadell.com/bitbucket/scm/MOBI/ms-sys-current-account-dds-v1.git</t>
  </si>
  <si>
    <t xml:space="preserve">1.5.2</t>
  </si>
  <si>
    <t xml:space="preserve">1.3.2</t>
  </si>
  <si>
    <t xml:space="preserve">https://kubernetes-dashboard.apps.pro.aws.bancsabadell.com/#/configmap/pro-ns-sys/ms-sys-current-account-dds-v1-micros-app-configs?namespace=pro-ns-sys</t>
  </si>
  <si>
    <t xml:space="preserve">ms-sys-card-details-ih</t>
  </si>
  <si>
    <t xml:space="preserve">ms-sys-card-details-ih-micros-app-configs</t>
  </si>
  <si>
    <t xml:space="preserve">artifactory.apps.devops.aws.bancsabadell.com/p4-virtual/p4cp/ms-sys-card-details-ih:2.1.2</t>
  </si>
  <si>
    <t xml:space="preserve">ms-sys-card-details-ih-p4ms</t>
  </si>
  <si>
    <t xml:space="preserve">http://repos.bancsabadell.com/bitbucket/scm/P4CP/ms-sys-card-details-ih.git</t>
  </si>
  <si>
    <t xml:space="preserve">2.1.2</t>
  </si>
  <si>
    <t xml:space="preserve">1.2.13</t>
  </si>
  <si>
    <t xml:space="preserve">https://kubernetes-dashboard.apps.pro.aws.bancsabadell.com/#/configmap/pro-ns-sys/ms-sys-card-details-ih-micros-app-configs?namespace=pro-ns-sys</t>
  </si>
  <si>
    <t xml:space="preserve">ms-sys-xy-common-data-v2</t>
  </si>
  <si>
    <t xml:space="preserve">ms-sys-xy-common-data-v2-micros-app-configs</t>
  </si>
  <si>
    <t xml:space="preserve">artifactory.apps.devops.aws.bancsabadell.com/p4-virtual/p4cp/ms-sys-xy-common-data-v2:1.0.0</t>
  </si>
  <si>
    <t xml:space="preserve">ms-sys-xy-common-data-v2-p4ms</t>
  </si>
  <si>
    <t xml:space="preserve">http://repos.bancsabadell.com/bitbucket/scm/P4CP/ms-sys-xy-common-data-v2.git</t>
  </si>
  <si>
    <t xml:space="preserve">https://kubernetes-dashboard.apps.pro.aws.bancsabadell.com/#/configmap/pro-ns-sys/ms-sys-xy-common-data-v2-micros-app-configs?namespace=pro-ns-sys</t>
  </si>
  <si>
    <t xml:space="preserve">ms-sys-notifications-hub-sms-sender</t>
  </si>
  <si>
    <t xml:space="preserve">ms-sys-notifications-hub-sms-sender-micros-app-configs</t>
  </si>
  <si>
    <t xml:space="preserve">artifactory.apps.devops.aws.bancsabadell.com/p4-virtual/p4des/ms-sys-notifications-hub-sms-sender:1.0.2</t>
  </si>
  <si>
    <t xml:space="preserve">ms-sys-notifications-hub-sms-sender-p4ms</t>
  </si>
  <si>
    <t xml:space="preserve">https://bitbucket.apps.devops.aws.bancsabadell.com/scm/p4des/ms-sys-notifications-hub-sms-sender.git</t>
  </si>
  <si>
    <t xml:space="preserve">https://kubernetes-dashboard.apps.pro.aws.bancsabadell.com/#/configmap/pro-ns-sys/ms-sys-notifications-hub-sms-sender-micros-app-configs?namespace=pro-ns-sys</t>
  </si>
  <si>
    <t xml:space="preserve">ms-sys-product-directory-kc</t>
  </si>
  <si>
    <t xml:space="preserve">ms-sys-product-directory-kc-micros-app-configs</t>
  </si>
  <si>
    <t xml:space="preserve">artifactory.apps.devops.aws.bancsabadell.com/p4-virtual/poojj/ms-sys-product-directory-kc:1.0.3</t>
  </si>
  <si>
    <t xml:space="preserve">ms-sys-product-directory-kc-p4ms</t>
  </si>
  <si>
    <t xml:space="preserve">mopuri.sai.deepika@accenture.com</t>
  </si>
  <si>
    <t xml:space="preserve">http://repos.bancsabadell.com/bitbucket/scm/POOJJ/ms-sys-product-directory-kc.git</t>
  </si>
  <si>
    <t xml:space="preserve">https://kubernetes-dashboard.apps.pro.aws.bancsabadell.com/#/configmap/pro-ns-sys/ms-sys-product-directory-kc-micros-app-configs?namespace=pro-ns-sys</t>
  </si>
  <si>
    <t xml:space="preserve">ms-sys-investment-portfolio-planning</t>
  </si>
  <si>
    <t xml:space="preserve">ms-sys-investment-portfolio-planning-micros-app-configs</t>
  </si>
  <si>
    <t xml:space="preserve">artifactory.apps.devops.aws.bancsabadell.com/p4-virtual/p4gc/ms-sys-investment-portfolio-planning:1.2.1</t>
  </si>
  <si>
    <t xml:space="preserve">ms-sys-investment-portfolio-planning-p4ms</t>
  </si>
  <si>
    <t xml:space="preserve">cristian.arias.salgado@nttdata.com</t>
  </si>
  <si>
    <t xml:space="preserve">http://repos.bancsabadell.com/bitbucket/scm/P4GC/ms-sys-investment-portfolio-planning.git</t>
  </si>
  <si>
    <t xml:space="preserve">1.2.1</t>
  </si>
  <si>
    <t xml:space="preserve">https://kubernetes-dashboard.apps.pro.aws.bancsabadell.com/#/configmap/pro-ns-sys/ms-sys-investment-portfolio-planning-micros-app-configs?namespace=pro-ns-sys</t>
  </si>
  <si>
    <t xml:space="preserve">ms-sys-position-keeping-extended-v1</t>
  </si>
  <si>
    <t xml:space="preserve">ms-sys-position-keeping-extended-v1-micros-app-configs</t>
  </si>
  <si>
    <t xml:space="preserve">artifactory.apps.devops.aws.bancsabadell.com/p4-virtual/mobi/ms-sys-position-keeping-extended-v1:2.0.0</t>
  </si>
  <si>
    <t xml:space="preserve">ms-sys-position-keeping-extended-v1-p4ms</t>
  </si>
  <si>
    <t xml:space="preserve">http://repos.bancsabadell.com/bitbucket/scm/MOBI/ms-sys-position-keeping-extended-v1.git</t>
  </si>
  <si>
    <t xml:space="preserve">3.9.10</t>
  </si>
  <si>
    <t xml:space="preserve">https://kubernetes-dashboard.apps.pro.aws.bancsabadell.com/#/configmap/pro-ns-sys/ms-sys-position-keeping-extended-v1-micros-app-configs?namespace=pro-ns-sys</t>
  </si>
  <si>
    <t xml:space="preserve">ms-sys-customer-product-and-service-bd-v1</t>
  </si>
  <si>
    <t xml:space="preserve">ms-sys-customer-product-and-service-bd-v1-micros-app-configs</t>
  </si>
  <si>
    <t xml:space="preserve">artifactory.apps.devops.aws.bancsabadell.com/p4-virtual/p4cp/ms-sys-customer-product-and-service-bd-v1:1.0.1</t>
  </si>
  <si>
    <t xml:space="preserve">ms-sys-customer-product-and-service-bd-v1-p4ms</t>
  </si>
  <si>
    <t xml:space="preserve">http://repos.bancsabadell.com/bitbucket/scm/p4cp/ms-sys-customer-product-and-service-bd-v1.git</t>
  </si>
  <si>
    <t xml:space="preserve">https://kubernetes-dashboard.apps.pro.aws.bancsabadell.com/#/configmap/pro-ns-sys/ms-sys-customer-product-and-service-bd-v1-micros-app-configs?namespace=pro-ns-sys</t>
  </si>
  <si>
    <t xml:space="preserve">ms-sys-correos-cash-accounts-v1</t>
  </si>
  <si>
    <t xml:space="preserve">ms-sys-correos-cash-accounts-v1-micros-app-configs</t>
  </si>
  <si>
    <t xml:space="preserve">artifactory.apps.devops.aws.bancsabadell.com/p4-virtual/api-sincertif/ms-sys-correos-cash-accounts-v1:0.1.11</t>
  </si>
  <si>
    <t xml:space="preserve">ms-sys-correos-cash-accounts-v1-p4ms</t>
  </si>
  <si>
    <t xml:space="preserve">jorge.carretero@gft.com</t>
  </si>
  <si>
    <t xml:space="preserve">http://repos.bancsabadell.com/bitbucket/scm/API-SINCERTIF/ms-sys-correos-cash-accounts-v1.git</t>
  </si>
  <si>
    <t xml:space="preserve">https://kubernetes-dashboard.apps.pro.aws.bancsabadell.com/#/configmap/pro-ns-sys/ms-sys-correos-cash-accounts-v1-micros-app-configs?namespace=pro-ns-sys</t>
  </si>
  <si>
    <t xml:space="preserve">ms-sys-er-minorista-ij</t>
  </si>
  <si>
    <t xml:space="preserve">ms-sys-er-minorista-ij-micros-app-configs</t>
  </si>
  <si>
    <t xml:space="preserve">artifactory.apps.devops.aws.bancsabadell.com/p4-virtual/er/ms-sys-er-minorista-ij:0.21.0</t>
  </si>
  <si>
    <t xml:space="preserve">ms-sys-er-minorista-ij-p4ms</t>
  </si>
  <si>
    <t xml:space="preserve">s.sunilrao.bole@accenture.com</t>
  </si>
  <si>
    <t xml:space="preserve">http://repos.bancsabadell.com/bitbucket/scm/ER/ms-sys-er-minorista-ij.git</t>
  </si>
  <si>
    <t xml:space="preserve">0.21.0</t>
  </si>
  <si>
    <t xml:space="preserve">https://kubernetes-dashboard.apps.pro.aws.bancsabadell.com/#/configmap/pro-ns-sys/ms-sys-er-minorista-ij-micros-app-configs?namespace=pro-ns-sys</t>
  </si>
  <si>
    <t xml:space="preserve">ms-sys-customers</t>
  </si>
  <si>
    <t xml:space="preserve">ms-sys-customers-micros-app-configs</t>
  </si>
  <si>
    <t xml:space="preserve">artifactory.apps.devops.aws.bancsabadell.com/p4-virtual/p4cp/ms-sys-customers:0.14.0</t>
  </si>
  <si>
    <t xml:space="preserve">ms-sys-customers-p4ms</t>
  </si>
  <si>
    <t xml:space="preserve">ana.rocio.pardo.barrio@everis.com</t>
  </si>
  <si>
    <t xml:space="preserve">http://repos.bancsabadell.com/bitbucket/scm/P4CP/ms-sys-customers.git</t>
  </si>
  <si>
    <t xml:space="preserve">0.14.0</t>
  </si>
  <si>
    <t xml:space="preserve">https://kubernetes-dashboard.apps.pro.aws.bancsabadell.com/#/configmap/pro-ns-sys/ms-sys-customers-micros-app-configs?namespace=pro-ns-sys</t>
  </si>
  <si>
    <t xml:space="preserve">ms-sys-context-payments</t>
  </si>
  <si>
    <t xml:space="preserve">ms-sys-context-payments-micros-app-configs</t>
  </si>
  <si>
    <t xml:space="preserve">artifactory.apps.devops.aws.bancsabadell.com/p4-virtual/p4cp/ms-sys-context-payments:1.0.6</t>
  </si>
  <si>
    <t xml:space="preserve">ms-sys-context-payments-p4ms</t>
  </si>
  <si>
    <t xml:space="preserve">himansha.tiwari@accenture.com</t>
  </si>
  <si>
    <t xml:space="preserve">http://repos.bancsabadell.com/bitbucket/scm/P4CP/ms-sys-context-payments.git</t>
  </si>
  <si>
    <t xml:space="preserve">https://kubernetes-dashboard.apps.pro.aws.bancsabadell.com/#/configmap/pro-ns-sys/ms-sys-context-payments-micros-app-configs?namespace=pro-ns-sys</t>
  </si>
  <si>
    <t xml:space="preserve">ms-sys-credit-management-xn-v1</t>
  </si>
  <si>
    <t xml:space="preserve">ms-sys-credit-management-xn-v1-micros-app-configs</t>
  </si>
  <si>
    <t xml:space="preserve">artifactory.apps.devops.aws.bancsabadell.com/p4-virtual/p4cp/ms-sys-credit-management-xn-v1:1.0.3</t>
  </si>
  <si>
    <t xml:space="preserve">ms-sys-credit-management-xn-v1-p4ms</t>
  </si>
  <si>
    <t xml:space="preserve">http://repos.bancsabadell.com/bitbucket/scm/P4CP/ms-sys-credit-management-xn-v1.git</t>
  </si>
  <si>
    <t xml:space="preserve">https://kubernetes-dashboard.apps.pro.aws.bancsabadell.com/#/configmap/pro-ns-sys/ms-sys-credit-management-xn-v1-micros-app-configs?namespace=pro-ns-sys</t>
  </si>
  <si>
    <t xml:space="preserve">ms-sys-card-position-keeping-extended-v1</t>
  </si>
  <si>
    <t xml:space="preserve">ms-sys-card-position-keeping-extended-v1-micros-app-configs</t>
  </si>
  <si>
    <t xml:space="preserve">artifactory.apps.devops.aws.bancsabadell.com/p4-virtual/p4cp/ms-sys-card-position-keeping-extended-v1:1.1.9</t>
  </si>
  <si>
    <t xml:space="preserve">ms-sys-card-position-keeping-extended-v1-p4ms</t>
  </si>
  <si>
    <t xml:space="preserve">ejfalconr@minsait.com</t>
  </si>
  <si>
    <t xml:space="preserve">http://repos.bancsabadell.com/bitbucket/scm/P4CP/ms-sys-card-position-keeping-extended-v1.git</t>
  </si>
  <si>
    <t xml:space="preserve">https://kubernetes-dashboard.apps.pro.aws.bancsabadell.com/#/configmap/pro-ns-sys/ms-sys-card-position-keeping-extended-v1-micros-app-configs?namespace=pro-ns-sys</t>
  </si>
  <si>
    <t xml:space="preserve">ms-sys-operational-log</t>
  </si>
  <si>
    <t xml:space="preserve">ms-sys-operational-log-micros-app-configs</t>
  </si>
  <si>
    <t xml:space="preserve">artifactory.apps.devops.aws.bancsabadell.com/p4-virtual/p4des/ms-sys-operational-log:0.3.6</t>
  </si>
  <si>
    <t xml:space="preserve">ms-sys-operational-log-p4ms</t>
  </si>
  <si>
    <t xml:space="preserve">https://bitbucket.apps.devops.aws.bancsabadell.com/scm/p4des/ms-sys-operational-log.git</t>
  </si>
  <si>
    <t xml:space="preserve">1.16.4</t>
  </si>
  <si>
    <t xml:space="preserve">https://kubernetes-dashboard.apps.pro.aws.bancsabadell.com/#/configmap/pro-ns-sys/ms-sys-operational-log-micros-app-configs?namespace=pro-ns-sys</t>
  </si>
  <si>
    <t xml:space="preserve">ms-sys-transaction-authorization-bd</t>
  </si>
  <si>
    <t xml:space="preserve">ms-sys-transaction-authorization-bd-micros-app-configs</t>
  </si>
  <si>
    <t xml:space="preserve">artifactory.apps.devops.aws.bancsabadell.com/p4-virtual/p4cp/ms-sys-transaction-authorization-bd:0.1.28</t>
  </si>
  <si>
    <t xml:space="preserve">ms-sys-transaction-authorization-bd-p4ms</t>
  </si>
  <si>
    <t xml:space="preserve">manoj.madnani@accenture.com</t>
  </si>
  <si>
    <t xml:space="preserve">http://repos.bancsabadell.com/bitbucket/scm/p4cp/ms-sys-transaction-authorization-bd.git</t>
  </si>
  <si>
    <t xml:space="preserve">0.1.28</t>
  </si>
  <si>
    <t xml:space="preserve">0.7.1</t>
  </si>
  <si>
    <t xml:space="preserve">https://kubernetes-dashboard.apps.pro.aws.bancsabadell.com/#/configmap/pro-ns-sys/ms-sys-transaction-authorization-bd-micros-app-configs?namespace=pro-ns-sys</t>
  </si>
  <si>
    <t xml:space="preserve">ms-sys-redsys</t>
  </si>
  <si>
    <t xml:space="preserve">ms-sys-redsys-micros-app-configs</t>
  </si>
  <si>
    <t xml:space="preserve">artifactory.apps.devops.aws.bancsabadell.com/p4-virtual/p4cp/ms-sys-redsys:2.1.1</t>
  </si>
  <si>
    <t xml:space="preserve">ms-sys-redsys-p4ms</t>
  </si>
  <si>
    <t xml:space="preserve">http://repos.bancsabadell.com/bitbucket/scm/p4cp/ms-sys-redsys.git</t>
  </si>
  <si>
    <t xml:space="preserve">2.1.1</t>
  </si>
  <si>
    <t xml:space="preserve">https://kubernetes-dashboard.apps.pro.aws.bancsabadell.com/#/configmap/pro-ns-sys/ms-sys-redsys-micros-app-configs?namespace=pro-ns-sys</t>
  </si>
  <si>
    <t xml:space="preserve">ms-sys-party-authentication-iam-v1</t>
  </si>
  <si>
    <t xml:space="preserve">ms-sys-party-authentication-iam-v1-micros-app-configs</t>
  </si>
  <si>
    <t xml:space="preserve">artifactory.apps.devops.aws.bancsabadell.com/p4-virtual/p4cp/ms-sys-party-authentication-iam-v1:1.0.4</t>
  </si>
  <si>
    <t xml:space="preserve">ms-sys-party-authentication-iam-v1-p4ms</t>
  </si>
  <si>
    <t xml:space="preserve">http://repos.bancsabadell.com/bitbucket/scm/p4cp/ms-sys-party-authentication-iam-v1.git</t>
  </si>
  <si>
    <t xml:space="preserve">https://kubernetes-dashboard.apps.pro.aws.bancsabadell.com/#/configmap/pro-ns-sys/ms-sys-party-authentication-iam-v1-micros-app-configs?namespace=pro-ns-sys</t>
  </si>
  <si>
    <t xml:space="preserve">ms-sys-saml</t>
  </si>
  <si>
    <t xml:space="preserve">ms-sys-saml-micros-app-configs</t>
  </si>
  <si>
    <t xml:space="preserve">artifactory.apps.devops.aws.bancsabadell.com/p4-virtual/p4cp/ms-sys-saml:0.4.2</t>
  </si>
  <si>
    <t xml:space="preserve">ms-sys-saml-p4ms</t>
  </si>
  <si>
    <t xml:space="preserve">raul.castilla@alten.es</t>
  </si>
  <si>
    <t xml:space="preserve">http://repos.bancsabadell.com/bitbucket/scm/P4CP/ms-sys-saml.git</t>
  </si>
  <si>
    <t xml:space="preserve">0.4.2</t>
  </si>
  <si>
    <t xml:space="preserve">https://kubernetes-dashboard.apps.pro.aws.bancsabadell.com/#/configmap/pro-ns-sys/ms-sys-saml-micros-app-configs?namespace=pro-ns-sys</t>
  </si>
  <si>
    <t xml:space="preserve">ms-sys-regulatory-and-legal-authority</t>
  </si>
  <si>
    <t xml:space="preserve">ms-sys-regulatory-and-legal-authority-micros-app-configs</t>
  </si>
  <si>
    <t xml:space="preserve">artifactory.apps.devops.aws.bancsabadell.com/p4-virtual/poojj/ms-sys-regulatory-and-legal-authority:1.0.13</t>
  </si>
  <si>
    <t xml:space="preserve">ms-sys-regulatory-and-legal-authority-p4ms</t>
  </si>
  <si>
    <t xml:space="preserve">0901ProjectServiceGFT@bancsabadell.com</t>
  </si>
  <si>
    <t xml:space="preserve">http://repos.bancsabadell.com/bitbucket/scm/poojj/ms-sys-regulatory-and-legal-authority.git</t>
  </si>
  <si>
    <t xml:space="preserve">1.0.13</t>
  </si>
  <si>
    <t xml:space="preserve">https://kubernetes-dashboard.apps.pro.aws.bancsabadell.com/#/configmap/pro-ns-sys/ms-sys-regulatory-and-legal-authority-micros-app-configs?namespace=pro-ns-sys</t>
  </si>
  <si>
    <t xml:space="preserve">ms-sys-tasaciones-anonymizer-consumer</t>
  </si>
  <si>
    <t xml:space="preserve">ms-sys-tasaciones-anonymizer-consumer-micros-app-configs</t>
  </si>
  <si>
    <t xml:space="preserve">artifactory.apps.devops.aws.bancsabadell.com/p4-virtual/p4cp/ms-sys-tasaciones-anonymizer-consumer:1.1.0</t>
  </si>
  <si>
    <t xml:space="preserve">ms-sys-tasaciones-anonymizer-consumer-p4ms</t>
  </si>
  <si>
    <t xml:space="preserve">http://repos.bancsabadell.com/bitbucket/scm/P4CP/ms-sys-tasaciones-anonymizer-consumer.git</t>
  </si>
  <si>
    <t xml:space="preserve">https://kubernetes-dashboard.apps.pro.aws.bancsabadell.com/#/configmap/pro-ns-sys/ms-sys-tasaciones-anonymizer-consumer-micros-app-configs?namespace=pro-ns-sys</t>
  </si>
  <si>
    <t xml:space="preserve">ms-sys-current-account-fp</t>
  </si>
  <si>
    <t xml:space="preserve">ms-sys-current-account-fp-micros-app-configs</t>
  </si>
  <si>
    <t xml:space="preserve">artifactory.apps.devops.aws.bancsabadell.com/p4-virtual/p4cp/ms-sys-current-account-fp:0.3.4</t>
  </si>
  <si>
    <t xml:space="preserve">ms-sys-current-account-fp-p4ms</t>
  </si>
  <si>
    <t xml:space="preserve">ddcp@gft.com</t>
  </si>
  <si>
    <t xml:space="preserve">http://repos.bancsabadell.com/bitbucket/scm/P4CP/ms-sys-current-account-fp.git</t>
  </si>
  <si>
    <t xml:space="preserve">0.3.4</t>
  </si>
  <si>
    <t xml:space="preserve">https://kubernetes-dashboard.apps.pro.aws.bancsabadell.com/#/configmap/pro-ns-sys/ms-sys-current-account-fp-micros-app-configs?namespace=pro-ns-sys</t>
  </si>
  <si>
    <t xml:space="preserve">ms-sys-payment-instruction-ip</t>
  </si>
  <si>
    <t xml:space="preserve">ms-sys-payment-instruction-ip-micros-app-configs</t>
  </si>
  <si>
    <t xml:space="preserve">artifactory.apps.devops.aws.bancsabadell.com/p4-virtual/p4cp/ms-sys-payment-instruction-ip:2.1.2</t>
  </si>
  <si>
    <t xml:space="preserve">ms-sys-payment-instruction-ip-p4ms</t>
  </si>
  <si>
    <t xml:space="preserve">y.chawla@accenture.com</t>
  </si>
  <si>
    <t xml:space="preserve">http://repos.bancsabadell.com/bitbucket/scm/P4CP/ms-sys-payment-instruction-ip.git</t>
  </si>
  <si>
    <t xml:space="preserve">https://kubernetes-dashboard.apps.pro.aws.bancsabadell.com/#/configmap/pro-ns-sys/ms-sys-payment-instruction-ip-micros-app-configs?namespace=pro-ns-sys</t>
  </si>
  <si>
    <t xml:space="preserve">ms-sys-customer-products-and-services-sp-v1</t>
  </si>
  <si>
    <t xml:space="preserve">ms-sys-customer-products-and-services-sp-v1-micros-app-configs</t>
  </si>
  <si>
    <t xml:space="preserve">artifactory.apps.devops.aws.bancsabadell.com/p4-virtual/p4cp/ms-sys-customer-products-and-services-sp-v1:2.0.5</t>
  </si>
  <si>
    <t xml:space="preserve">ms-sys-customer-products-and-services-sp-v1-p4ms</t>
  </si>
  <si>
    <t xml:space="preserve">smorenoe@minsait.com</t>
  </si>
  <si>
    <t xml:space="preserve">http://repos.bancsabadell.com/bitbucket/scm/p4cp/ms-sys-customer-products-and-services-sp-v1.git</t>
  </si>
  <si>
    <t xml:space="preserve">1.7.0</t>
  </si>
  <si>
    <t xml:space="preserve">https://kubernetes-dashboard.apps.pro.aws.bancsabadell.com/#/configmap/pro-ns-sys/ms-sys-customer-products-and-services-sp-v1-micros-app-configs?namespace=pro-ns-sys</t>
  </si>
  <si>
    <t xml:space="preserve">ms-sys-cards-dds-v1</t>
  </si>
  <si>
    <t xml:space="preserve">ms-sys-cards-dds-v1-micros-app-configs</t>
  </si>
  <si>
    <t xml:space="preserve">artifactory.apps.devops.aws.bancsabadell.com/p4-virtual/mobi/ms-sys-cards-dds-v1:1.1.71</t>
  </si>
  <si>
    <t xml:space="preserve">ms-sys-cards-dds-v1-p4ms</t>
  </si>
  <si>
    <t xml:space="preserve">http://repos.bancsabadell.com/bitbucket/scm/mobi/ms-sys-cards-dds-v1.git</t>
  </si>
  <si>
    <t xml:space="preserve">1.1.71</t>
  </si>
  <si>
    <t xml:space="preserve">1.3.19</t>
  </si>
  <si>
    <t xml:space="preserve">3.9.12</t>
  </si>
  <si>
    <t xml:space="preserve">https://kubernetes-dashboard.apps.pro.aws.bancsabadell.com/#/configmap/pro-ns-sys/ms-sys-cards-dds-v1-micros-app-configs?namespace=pro-ns-sys</t>
  </si>
  <si>
    <t xml:space="preserve">ms-sys-party-reference-data-pe-v3</t>
  </si>
  <si>
    <t xml:space="preserve">ms-sys-party-reference-data-pe-v3-micros-app-configs</t>
  </si>
  <si>
    <t xml:space="preserve">artifactory.apps.devops.aws.bancsabadell.com/p4-virtual/mobi/ms-sys-party-reference-data-pe-v3:1.12.4</t>
  </si>
  <si>
    <t xml:space="preserve">ms-sys-party-reference-data-pe-v3-p4ms</t>
  </si>
  <si>
    <t xml:space="preserve">http://repos.bancsabadell.com/bitbucket/scm/MOBI/ms-sys-party-reference-data-pe-v3.git</t>
  </si>
  <si>
    <t xml:space="preserve">1.12.4</t>
  </si>
  <si>
    <t xml:space="preserve">1.10.4</t>
  </si>
  <si>
    <t xml:space="preserve">https://kubernetes-dashboard.apps.pro.aws.bancsabadell.com/#/configmap/pro-ns-sys/ms-sys-party-reference-data-pe-v3-micros-app-configs?namespace=pro-ns-sys</t>
  </si>
  <si>
    <t xml:space="preserve">ms-sys-factoring-system-fa-v1</t>
  </si>
  <si>
    <t xml:space="preserve">ms-sys-factoring-system-fa-v1-micros-app-configs</t>
  </si>
  <si>
    <t xml:space="preserve">artifactory.apps.devops.aws.bancsabadell.com/p4-virtual/p4cp/ms-sys-factoring-system-fa-v1:1.1.0</t>
  </si>
  <si>
    <t xml:space="preserve">ms-sys-factoring-system-fa-v1-p4ms</t>
  </si>
  <si>
    <t xml:space="preserve">aayush.sagar@accenture.com</t>
  </si>
  <si>
    <t xml:space="preserve">http://repos.bancsabadell.com/bitbucket/scm/P4cp/ms-sys-factoring-system-fa-v1.git</t>
  </si>
  <si>
    <t xml:space="preserve">https://kubernetes-dashboard.apps.pro.aws.bancsabadell.com/#/configmap/pro-ns-sys/ms-sys-factoring-system-fa-v1-micros-app-configs?namespace=pro-ns-sys</t>
  </si>
  <si>
    <t xml:space="preserve">ms-sys-adobe-delete-entity</t>
  </si>
  <si>
    <t xml:space="preserve">ms-sys-adobe-delete-entity-micros-app-configs</t>
  </si>
  <si>
    <t xml:space="preserve">artifactory.apps.devops.aws.bancsabadell.com/p4-virtual/p4cp/ms-sys-adobe-delete-entity:1.0.3</t>
  </si>
  <si>
    <t xml:space="preserve">ms-sys-adobe-delete-entity-p4ms</t>
  </si>
  <si>
    <t xml:space="preserve">http://repos.bancsabadell.com/bitbucket/scm/p4cp/ms-sys-adobe-delete-entity.git</t>
  </si>
  <si>
    <t xml:space="preserve">0.0.1</t>
  </si>
  <si>
    <t xml:space="preserve">https://kubernetes-dashboard.apps.pro.aws.bancsabadell.com/#/configmap/pro-ns-sys/ms-sys-adobe-delete-entity-micros-app-configs?namespace=pro-ns-sys</t>
  </si>
  <si>
    <t xml:space="preserve">ms-sys-onboarding-process</t>
  </si>
  <si>
    <t xml:space="preserve">ms-sys-onboarding-process-micros-app-configs</t>
  </si>
  <si>
    <t xml:space="preserve">artifactory.apps.devops.aws.bancsabadell.com/p4-virtual/p4cp/ms-sys-onboarding-process:0.13.0</t>
  </si>
  <si>
    <t xml:space="preserve">ms-sys-onboarding-process-p4ms</t>
  </si>
  <si>
    <t xml:space="preserve">apardoba@everis.com</t>
  </si>
  <si>
    <t xml:space="preserve">http://repos.bancsabadell.com/bitbucket/scm/P4CP/ms-sys-onboarding-process.git</t>
  </si>
  <si>
    <t xml:space="preserve">0.13.0</t>
  </si>
  <si>
    <t xml:space="preserve">0.6.8</t>
  </si>
  <si>
    <t xml:space="preserve">https://kubernetes-dashboard.apps.pro.aws.bancsabadell.com/#/configmap/pro-ns-sys/ms-sys-onboarding-process-micros-app-configs?namespace=pro-ns-sys</t>
  </si>
  <si>
    <t xml:space="preserve">ms-sys-fraud</t>
  </si>
  <si>
    <t xml:space="preserve">ms-sys-fraud-micros-app-configs</t>
  </si>
  <si>
    <t xml:space="preserve">artifactory.apps.devops.aws.bancsabadell.com/p4-virtual/p4des/ms-sys-fraud:1.3.1</t>
  </si>
  <si>
    <t xml:space="preserve">ms-sys-fraud-p4ms</t>
  </si>
  <si>
    <t xml:space="preserve">https://bitbucket.apps.devops.aws.bancsabadell.com/scm/P4DES/ms-sys-fraud.git</t>
  </si>
  <si>
    <t xml:space="preserve">1.3.1</t>
  </si>
  <si>
    <t xml:space="preserve">1.0.14</t>
  </si>
  <si>
    <t xml:space="preserve">https://kubernetes-dashboard.apps.pro.aws.bancsabadell.com/#/configmap/pro-ns-sys/ms-sys-fraud-micros-app-configs?namespace=pro-ns-sys</t>
  </si>
  <si>
    <t xml:space="preserve">ms-sys-customer-relationship-management-scf</t>
  </si>
  <si>
    <t xml:space="preserve">ms-sys-customer-relationship-management-scf-micros-app-configs</t>
  </si>
  <si>
    <t xml:space="preserve">artifactory.apps.devops.aws.bancsabadell.com/p4-virtual/p4cp/ms-sys-customer-relationship-management-scf:1.0.18</t>
  </si>
  <si>
    <t xml:space="preserve">ms-sys-customer-relationship-management-scf-p4ms</t>
  </si>
  <si>
    <t xml:space="preserve">BancSabadell.JavaFactory@accenture.com</t>
  </si>
  <si>
    <t xml:space="preserve">http://repos.bancsabadell.com/bitbucket/scm/p4cp/ms-sys-customer-relationship-management-scf.git</t>
  </si>
  <si>
    <t xml:space="preserve">1.0.18</t>
  </si>
  <si>
    <t xml:space="preserve">https://kubernetes-dashboard.apps.pro.aws.bancsabadell.com/#/configmap/pro-ns-sys/ms-sys-customer-relationship-management-scf-micros-app-configs?namespace=pro-ns-sys</t>
  </si>
  <si>
    <t xml:space="preserve">ms-sys-payment-rail-operations-notifications-v2</t>
  </si>
  <si>
    <t xml:space="preserve">ms-sys-payment-rail-operations-notifications-v2-micros-app-configs</t>
  </si>
  <si>
    <t xml:space="preserve">artifactory.apps.devops.aws.bancsabadell.com/p4-virtual/p4cp/ms-sys-payment-rail-operations-notifications-v2:0.1.0</t>
  </si>
  <si>
    <t xml:space="preserve">ms-sys-payment-rail-operations-notifications-v2-p4ms</t>
  </si>
  <si>
    <t xml:space="preserve">http://repos.bancsabadell.com/bitbucket/scm/P4CP/ms-sys-payment-rail-operations-notifications-v2.git</t>
  </si>
  <si>
    <t xml:space="preserve">https://kubernetes-dashboard.apps.pro.aws.bancsabadell.com/#/configmap/pro-ns-sys/ms-sys-payment-rail-operations-notifications-v2-micros-app-configs?namespace=pro-ns-sys</t>
  </si>
  <si>
    <t xml:space="preserve">ms-sys-enrollment-ip-v1</t>
  </si>
  <si>
    <t xml:space="preserve">ms-sys-enrollment-ip-v1-micros-app-configs</t>
  </si>
  <si>
    <t xml:space="preserve">artifactory.apps.devops.aws.bancsabadell.com/p4-virtual/p4cp/ms-sys-enrollment-ip-v1:0.1.8</t>
  </si>
  <si>
    <t xml:space="preserve">ms-sys-enrollment-ip-v1-p4ms</t>
  </si>
  <si>
    <t xml:space="preserve">tmarinve@nttdata.com</t>
  </si>
  <si>
    <t xml:space="preserve">http://repos.bancsabadell.com/bitbucket/scm/p4cp/ms-sys-enrollment-ip-v1.git</t>
  </si>
  <si>
    <t xml:space="preserve">0.1.8</t>
  </si>
  <si>
    <t xml:space="preserve">https://kubernetes-dashboard.apps.pro.aws.bancsabadell.com/#/configmap/pro-ns-sys/ms-sys-enrollment-ip-v1-micros-app-configs?namespace=pro-ns-sys</t>
  </si>
  <si>
    <t xml:space="preserve">ms-sys-customer-event-history-oa</t>
  </si>
  <si>
    <t xml:space="preserve">ms-sys-customer-event-history-oa-micros-app-configs</t>
  </si>
  <si>
    <t xml:space="preserve">artifactory.apps.devops.aws.bancsabadell.com/p4-virtual/p4cp/ms-sys-customer-event-history-oa:2.0.3</t>
  </si>
  <si>
    <t xml:space="preserve">ms-sys-customer-event-history-oa-p4ms</t>
  </si>
  <si>
    <t xml:space="preserve">http://repos.bancsabadell.com/bitbucket/scm/P4CP/ms-sys-customer-event-history-oa.git</t>
  </si>
  <si>
    <t xml:space="preserve">https://kubernetes-dashboard.apps.pro.aws.bancsabadell.com/#/configmap/pro-ns-sys/ms-sys-customer-event-history-oa-micros-app-configs?namespace=pro-ns-sys</t>
  </si>
  <si>
    <t xml:space="preserve">ms-sys-card-hiring-ih</t>
  </si>
  <si>
    <t xml:space="preserve">ms-sys-card-hiring-ih-micros-app-configs</t>
  </si>
  <si>
    <t xml:space="preserve">artifactory.apps.devops.aws.bancsabadell.com/p4-virtual/p4cp/ms-sys-card-hiring-ih:1.2.9</t>
  </si>
  <si>
    <t xml:space="preserve">ms-sys-card-hiring-ih-p4ms</t>
  </si>
  <si>
    <t xml:space="preserve">http://repos.bancsabadell.com/bitbucket/scm/P4CP/ms-sys-card-hiring-ih.git</t>
  </si>
  <si>
    <t xml:space="preserve">1.2.9</t>
  </si>
  <si>
    <t xml:space="preserve">https://kubernetes-dashboard.apps.pro.aws.bancsabadell.com/#/configmap/pro-ns-sys/ms-sys-card-hiring-ih-micros-app-configs?namespace=pro-ns-sys</t>
  </si>
  <si>
    <t xml:space="preserve">ms-sys-party-routing-profile-aa</t>
  </si>
  <si>
    <t xml:space="preserve">ms-sys-party-routing-profile-aa-micros-app-configs</t>
  </si>
  <si>
    <t xml:space="preserve">artifactory.apps.devops.aws.bancsabadell.com/p4-virtual/mobi/ms-sys-party-routing-profile-aa:0.3.6</t>
  </si>
  <si>
    <t xml:space="preserve">ms-sys-party-routing-profile-aa-p4ms</t>
  </si>
  <si>
    <t xml:space="preserve">http://repos.bancsabadell.com/bitbucket/scm/MOBI/ms-sys-party-routing-profile-aa.git</t>
  </si>
  <si>
    <t xml:space="preserve">3.9.7</t>
  </si>
  <si>
    <t xml:space="preserve">https://kubernetes-dashboard.apps.pro.aws.bancsabadell.com/#/configmap/pro-ns-sys/ms-sys-party-routing-profile-aa-micros-app-configs?namespace=pro-ns-sys</t>
  </si>
  <si>
    <t xml:space="preserve">ms-sys-correos-cash-people-v1</t>
  </si>
  <si>
    <t xml:space="preserve">ms-sys-correos-cash-people-v1-micros-app-configs</t>
  </si>
  <si>
    <t xml:space="preserve">artifactory.apps.devops.aws.bancsabadell.com/p4-virtual/api-sincertif/ms-sys-correos-cash-people-v1:0.1.9</t>
  </si>
  <si>
    <t xml:space="preserve">ms-sys-correos-cash-people-v1-p4ms</t>
  </si>
  <si>
    <t xml:space="preserve">http://repos.bancsabadell.com/bitbucket/scm/API-SINCERTIF/ms-sys-correos-cash-people-v1.git</t>
  </si>
  <si>
    <t xml:space="preserve">0.1.9</t>
  </si>
  <si>
    <t xml:space="preserve">https://kubernetes-dashboard.apps.pro.aws.bancsabadell.com/#/configmap/pro-ns-sys/ms-sys-correos-cash-people-v1-micros-app-configs?namespace=pro-ns-sys</t>
  </si>
  <si>
    <t xml:space="preserve">ms-sys-bank-guarantee-av</t>
  </si>
  <si>
    <t xml:space="preserve">ms-sys-bank-guarantee-av-micros-app-configs</t>
  </si>
  <si>
    <t xml:space="preserve">artifactory.apps.devops.aws.bancsabadell.com/p4-virtual/p4cp/ms-sys-bank-guarantee-av:2.0.3</t>
  </si>
  <si>
    <t xml:space="preserve">ms-sys-bank-guarantee-av-p4ms</t>
  </si>
  <si>
    <t xml:space="preserve">ashita.c.yadav@accenture.com</t>
  </si>
  <si>
    <t xml:space="preserve">http://repos.bancsabadell.com/bitbucket/scm/P4CP/ms-sys-bank-guarantee-av.git</t>
  </si>
  <si>
    <t xml:space="preserve">https://kubernetes-dashboard.apps.pro.aws.bancsabadell.com/#/configmap/pro-ns-sys/ms-sys-bank-guarantee-av-micros-app-configs?namespace=pro-ns-sys</t>
  </si>
  <si>
    <t xml:space="preserve">ms-sys-ccf</t>
  </si>
  <si>
    <t xml:space="preserve">ms-sys-ccf-micros-app-configs</t>
  </si>
  <si>
    <t xml:space="preserve">artifactory.apps.devops.aws.bancsabadell.com/p4-virtual/intercam/ms-sys-ccf:2.0.1</t>
  </si>
  <si>
    <t xml:space="preserve">ms-sys-ccf-p4ms</t>
  </si>
  <si>
    <t xml:space="preserve">p4ms-0.15.0</t>
  </si>
  <si>
    <t xml:space="preserve">fogn@gft.com</t>
  </si>
  <si>
    <t xml:space="preserve">http://repos.bancsabadell.com/bitbucket/scm/INTERCAM/ms-sys-ccf.git</t>
  </si>
  <si>
    <t xml:space="preserve">https://kubernetes-dashboard.apps.pro.aws.bancsabadell.com/#/configmap/pro-ns-sys/ms-sys-ccf-micros-app-configs?namespace=pro-ns-sys</t>
  </si>
  <si>
    <t xml:space="preserve">ms-sys-icaap-irrbb</t>
  </si>
  <si>
    <t xml:space="preserve">ms-sys-icaap-irrbb-micros-py-configs</t>
  </si>
  <si>
    <t xml:space="preserve">artifactory.apps.devops.aws.bancsabadell.com/p4-virtual/ms-sys-icaap-irrbb:1.0.4</t>
  </si>
  <si>
    <t xml:space="preserve">ms-sys-icaap-irrbb-p4mspy</t>
  </si>
  <si>
    <t xml:space="preserve">http://repos.bancsabadell.com/bitbucket/scm/ESSABICAAPIRRBB/ms-sys-icaap-irrbb.git</t>
  </si>
  <si>
    <t xml:space="preserve">https://kubernetes-dashboard.apps.pro.aws.bancsabadell.com/#/configmap/pro-ns-sys/ms-sys-icaap-irrbb-micros-py-configs?namespace=pro-ns-sys</t>
  </si>
  <si>
    <t xml:space="preserve">ms-sys-sinfonia-file-processor</t>
  </si>
  <si>
    <t xml:space="preserve">ms-sys-sinfonia-file-processor-micros-app-configs</t>
  </si>
  <si>
    <t xml:space="preserve">artifactory.apps.devops.aws.bancsabadell.com/p4-virtual/p4cp/ms-sys-sinfonia-file-processor:1.0.4</t>
  </si>
  <si>
    <t xml:space="preserve">ms-sys-sinfonia-file-processor-p4ms</t>
  </si>
  <si>
    <t xml:space="preserve">http://repos.bancsabadell.com/bitbucket/scm/p4cp/ms-sys-sinfonia-file-processor.git</t>
  </si>
  <si>
    <t xml:space="preserve">https://kubernetes-dashboard.apps.pro.aws.bancsabadell.com/#/configmap/pro-ns-sys/ms-sys-sinfonia-file-processor-micros-app-configs?namespace=pro-ns-sys</t>
  </si>
  <si>
    <t xml:space="preserve">ms-sys-card-position-keeping-v1</t>
  </si>
  <si>
    <t xml:space="preserve">ms-sys-card-position-keeping-v1-micros-app-configs</t>
  </si>
  <si>
    <t xml:space="preserve">artifactory.apps.devops.aws.bancsabadell.com/p4-virtual/p4cp/ms-sys-card-position-keeping-v1:1.0.10</t>
  </si>
  <si>
    <t xml:space="preserve">ms-sys-card-position-keeping-v1-p4ms</t>
  </si>
  <si>
    <t xml:space="preserve">jpenag@minsait.com</t>
  </si>
  <si>
    <t xml:space="preserve">http://repos.bancsabadell.com/bitbucket/scm/P4CP/ms-sys-card-position-keeping-v1.git</t>
  </si>
  <si>
    <t xml:space="preserve">https://kubernetes-dashboard.apps.pro.aws.bancsabadell.com/#/configmap/pro-ns-sys/ms-sys-card-position-keeping-v1-micros-app-configs?namespace=pro-ns-sys</t>
  </si>
  <si>
    <t xml:space="preserve">ms-sys-accounts-receivable</t>
  </si>
  <si>
    <t xml:space="preserve">ms-sys-accounts-receivable-micros-app-configs</t>
  </si>
  <si>
    <t xml:space="preserve">artifactory.apps.devops.aws.bancsabadell.com/p4-virtual/p4cp/ms-sys-accounts-receivable:1.4.8</t>
  </si>
  <si>
    <t xml:space="preserve">ms-sys-accounts-receivable-p4ms</t>
  </si>
  <si>
    <t xml:space="preserve">alfonso.medrano@gft.com</t>
  </si>
  <si>
    <t xml:space="preserve">http://repos.bancsabadell.com/bitbucket/scm/p4cp/ms-sys-accounts-receivable.git</t>
  </si>
  <si>
    <t xml:space="preserve">1.4.8</t>
  </si>
  <si>
    <t xml:space="preserve">1.4.5</t>
  </si>
  <si>
    <t xml:space="preserve">https://kubernetes-dashboard.apps.pro.aws.bancsabadell.com/#/configmap/pro-ns-sys/ms-sys-accounts-receivable-micros-app-configs?namespace=pro-ns-sys</t>
  </si>
  <si>
    <t xml:space="preserve">ms-sys-corporate-directory</t>
  </si>
  <si>
    <t xml:space="preserve">ms-sys-corporate-directory-micros-app-configs</t>
  </si>
  <si>
    <t xml:space="preserve">artifactory.apps.devops.aws.bancsabadell.com/p4-virtual/p4cp/ms-sys-corporate-directory:1.2.7</t>
  </si>
  <si>
    <t xml:space="preserve">ms-sys-corporate-directory-p4ms</t>
  </si>
  <si>
    <t xml:space="preserve">ruben.zapata@gft.com</t>
  </si>
  <si>
    <t xml:space="preserve">http://repos.bancsabadell.com/bitbucket/scm/P4CP/ms-sys-corporate-directory.git</t>
  </si>
  <si>
    <t xml:space="preserve">1.2.7</t>
  </si>
  <si>
    <t xml:space="preserve">https://kubernetes-dashboard.apps.pro.aws.bancsabadell.com/#/configmap/pro-ns-sys/ms-sys-corporate-directory-micros-app-configs?namespace=pro-ns-sys</t>
  </si>
  <si>
    <t xml:space="preserve">ms-sys-customer-position-va-v1</t>
  </si>
  <si>
    <t xml:space="preserve">ms-sys-customer-position-va-v1-micros-app-configs</t>
  </si>
  <si>
    <t xml:space="preserve">artifactory.apps.devops.aws.bancsabadell.com/p4-virtual/mobi/ms-sys-customer-position-va-v1:1.1.1</t>
  </si>
  <si>
    <t xml:space="preserve">ms-sys-customer-position-va-v1-p4ms</t>
  </si>
  <si>
    <t xml:space="preserve">http://repos.bancsabadell.com/bitbucket/scm/MOBI/ms-sys-customer-position-va-v1.git</t>
  </si>
  <si>
    <t xml:space="preserve">1.1.1</t>
  </si>
  <si>
    <t xml:space="preserve">https://kubernetes-dashboard.apps.pro.aws.bancsabadell.com/#/configmap/pro-ns-sys/ms-sys-customer-position-va-v1-micros-app-configs?namespace=pro-ns-sys</t>
  </si>
  <si>
    <t xml:space="preserve">ms-sys-notification-redsys</t>
  </si>
  <si>
    <t xml:space="preserve">ms-sys-notification-redsys-micros-app-configs</t>
  </si>
  <si>
    <t xml:space="preserve">artifactory.apps.devops.aws.bancsabadell.com/p4-virtual/p4cp/ms-sys-notification-redsys:1.0.8</t>
  </si>
  <si>
    <t xml:space="preserve">ms-sys-notification-redsys-p4ms</t>
  </si>
  <si>
    <t xml:space="preserve">mmuthuva@emeal.nttdata.com</t>
  </si>
  <si>
    <t xml:space="preserve">http://repos.bancsabadell.com/bitbucket/scm/P4CP/ms-sys-notification-redsys.git</t>
  </si>
  <si>
    <t xml:space="preserve">https://kubernetes-dashboard.apps.pro.aws.bancsabadell.com/#/configmap/pro-ns-sys/ms-sys-notification-redsys-micros-app-configs?namespace=pro-ns-sys</t>
  </si>
  <si>
    <t xml:space="preserve">ms-openbanking-sys-loaddata</t>
  </si>
  <si>
    <t xml:space="preserve">ms-openbanking-sys-loaddata-micros-app-configs</t>
  </si>
  <si>
    <t xml:space="preserve">artifactory.apps.devops.aws.bancsabadell.com/p4-virtual/aisp/ms-openbanking-sys-loaddata:0.5.8</t>
  </si>
  <si>
    <t xml:space="preserve">ms-openbanking-sys-loaddata-p4ms</t>
  </si>
  <si>
    <t xml:space="preserve">mario.sequera.amores@accenture.com</t>
  </si>
  <si>
    <t xml:space="preserve">http://repos.bancsabadell.com/bitbucket/scm/AISP/ms-openbanking-sys-loaddata.git</t>
  </si>
  <si>
    <t xml:space="preserve">0.5.8</t>
  </si>
  <si>
    <t xml:space="preserve">0.5.9</t>
  </si>
  <si>
    <t xml:space="preserve">https://kubernetes-dashboard.apps.pro.aws.bancsabadell.com/#/configmap/pro-ns-sys/ms-openbanking-sys-loaddata-micros-app-configs?namespace=pro-ns-sys</t>
  </si>
  <si>
    <t xml:space="preserve">ms-sys-otp</t>
  </si>
  <si>
    <t xml:space="preserve">ms-sys-otp-micros-app-configs</t>
  </si>
  <si>
    <t xml:space="preserve">artifactory.apps.devops.aws.bancsabadell.com/p4-virtual/p4des/ms-sys-otp:1.5.0</t>
  </si>
  <si>
    <t xml:space="preserve">ms-sys-otp-p4ms</t>
  </si>
  <si>
    <t xml:space="preserve">https://bitbucket.apps.devops.aws.bancsabadell.com/scm/p4des/ms-sys-otp.git</t>
  </si>
  <si>
    <t xml:space="preserve">https://kubernetes-dashboard.apps.pro.aws.bancsabadell.com/#/configmap/pro-ns-sys/ms-sys-otp-micros-app-configs?namespace=pro-ns-sys</t>
  </si>
  <si>
    <t xml:space="preserve">ms-sys-customer-case-management-bbdd</t>
  </si>
  <si>
    <t xml:space="preserve">ms-sys-customer-case-management-bbdd-micros-app-configs</t>
  </si>
  <si>
    <t xml:space="preserve">artifactory.apps.devops.aws.bancsabadell.com/p4-virtual/coe/ms-sys-customer-case-management-bbdd:1.1.10</t>
  </si>
  <si>
    <t xml:space="preserve">ms-sys-customer-case-management-bbdd-p4ms</t>
  </si>
  <si>
    <t xml:space="preserve">avidasol@emeal.nttdata.com</t>
  </si>
  <si>
    <t xml:space="preserve">http://repos.bancsabadell.com/bitbucket/scm/coe/ms-sys-customer-case-management-bbdd.git</t>
  </si>
  <si>
    <t xml:space="preserve">1.1.10</t>
  </si>
  <si>
    <t xml:space="preserve">1.1.8</t>
  </si>
  <si>
    <t xml:space="preserve">https://kubernetes-dashboard.apps.pro.aws.bancsabadell.com/#/configmap/pro-ns-sys/ms-sys-customer-case-management-bbdd-micros-app-configs?namespace=pro-ns-sys</t>
  </si>
  <si>
    <t xml:space="preserve">ms-sys-legal-entity-directory-ee-v1</t>
  </si>
  <si>
    <t xml:space="preserve">ms-sys-legal-entity-directory-ee-v1-micros-app-configs</t>
  </si>
  <si>
    <t xml:space="preserve">artifactory.apps.devops.aws.bancsabadell.com/p4-virtual/p4cp/ms-sys-legal-entity-directory-ee-v1:1.0.1</t>
  </si>
  <si>
    <t xml:space="preserve">ms-sys-legal-entity-directory-ee-v1-p4ms</t>
  </si>
  <si>
    <t xml:space="preserve">d.satya.tothadi@accenture.com</t>
  </si>
  <si>
    <t xml:space="preserve">http://repos.bancsabadell.com/bitbucket/scm/P4CP/ms-sys-legal-entity-directory-ee-v1.git</t>
  </si>
  <si>
    <t xml:space="preserve">https://kubernetes-dashboard.apps.pro.aws.bancsabadell.com/#/configmap/pro-ns-sys/ms-sys-legal-entity-directory-ee-v1-micros-app-configs?namespace=pro-ns-sys</t>
  </si>
  <si>
    <t xml:space="preserve">ms-sys-er-minorista-mo</t>
  </si>
  <si>
    <t xml:space="preserve">ms-sys-er-minorista-mo-micros-app-configs</t>
  </si>
  <si>
    <t xml:space="preserve">artifactory.apps.devops.aws.bancsabadell.com/p4-virtual/er/ms-sys-er-minorista-mo:0.18.0</t>
  </si>
  <si>
    <t xml:space="preserve">ms-sys-er-minorista-mo-p4ms</t>
  </si>
  <si>
    <t xml:space="preserve">prachi.nagar@accenture.com</t>
  </si>
  <si>
    <t xml:space="preserve">http://repos.bancsabadell.com/bitbucket/scm/ER/ms-sys-er-minorista-mo.git</t>
  </si>
  <si>
    <t xml:space="preserve">0.18.0</t>
  </si>
  <si>
    <t xml:space="preserve">https://kubernetes-dashboard.apps.pro.aws.bancsabadell.com/#/configmap/pro-ns-sys/ms-sys-er-minorista-mo-micros-app-configs?namespace=pro-ns-sys</t>
  </si>
  <si>
    <t xml:space="preserve">ms-sys-customer-offer-system-pco-v1</t>
  </si>
  <si>
    <t xml:space="preserve">ms-sys-customer-offer-system-pco-v1-micros-app-configs</t>
  </si>
  <si>
    <t xml:space="preserve">artifactory.apps.devops.aws.bancsabadell.com/p4-virtual/p4cp/ms-sys-customer-offer-system-pco-v1:1.0.5</t>
  </si>
  <si>
    <t xml:space="preserve">ms-sys-customer-offer-system-pco-v1-p4ms</t>
  </si>
  <si>
    <t xml:space="preserve">http://repos.bancsabadell.com/bitbucket/scm/P4CP/ms-sys-customer-offer-pco-v1.git</t>
  </si>
  <si>
    <t xml:space="preserve">https://kubernetes-dashboard.apps.pro.aws.bancsabadell.com/#/configmap/pro-ns-sys/ms-sys-customer-offer-system-pco-v1-micros-app-configs?namespace=pro-ns-sys</t>
  </si>
  <si>
    <t xml:space="preserve">ms-sys-public-reference-data-management-sv-v1</t>
  </si>
  <si>
    <t xml:space="preserve">ms-sys-public-reference-data-management-sv-v1-micros-app-configs</t>
  </si>
  <si>
    <t xml:space="preserve">artifactory.apps.devops.aws.bancsabadell.com/p4-virtual/p4cp/ms-sys-public-reference-data-management-sv-v1:1.2.5</t>
  </si>
  <si>
    <t xml:space="preserve">ms-sys-public-reference-data-management-sv-v1-p4ms</t>
  </si>
  <si>
    <t xml:space="preserve">gmarinma@emeal.nttdata.com</t>
  </si>
  <si>
    <t xml:space="preserve">http://repos.bancsabadell.com/bitbucket/scm/P4CP/ms-sys-public-reference-data-management-sv-v1.git</t>
  </si>
  <si>
    <t xml:space="preserve">1.2.5</t>
  </si>
  <si>
    <t xml:space="preserve">https://kubernetes-dashboard.apps.pro.aws.bancsabadell.com/#/configmap/pro-ns-sys/ms-sys-public-reference-data-management-sv-v1-micros-app-configs?namespace=pro-ns-sys</t>
  </si>
  <si>
    <t xml:space="preserve">ms-sys-er-minorista-sp</t>
  </si>
  <si>
    <t xml:space="preserve">ms-sys-er-minorista-sp-micros-app-configs</t>
  </si>
  <si>
    <t xml:space="preserve">artifactory.apps.devops.aws.bancsabadell.com/p4-virtual/er/ms-sys-er-minorista-sp:0.11.0</t>
  </si>
  <si>
    <t xml:space="preserve">ms-sys-er-minorista-sp-p4ms</t>
  </si>
  <si>
    <t xml:space="preserve">http://repos.bancsabadell.com/bitbucket/scm/ER/ms-sys-er-minorista-sp.git</t>
  </si>
  <si>
    <t xml:space="preserve">0.11.0</t>
  </si>
  <si>
    <t xml:space="preserve">https://kubernetes-dashboard.apps.pro.aws.bancsabadell.com/#/configmap/pro-ns-sys/ms-sys-er-minorista-sp-micros-app-configs?namespace=pro-ns-sys</t>
  </si>
  <si>
    <t xml:space="preserve">ms-sys-customer-credit-rating-cirbe-sytem-cirite</t>
  </si>
  <si>
    <t xml:space="preserve">ms-sys-customer-credit-rating-cirbe-sytem-cirite-micros-app-configs</t>
  </si>
  <si>
    <t xml:space="preserve">artifactory.apps.devops.aws.bancsabadell.com/p4-virtual/p4cp/ms-sys-customer-credit-rating-cirbe-sytem-cirite:1.5.0</t>
  </si>
  <si>
    <t xml:space="preserve">ms-sys-customer-credit-rating-cirbe-sytem-cirite-p4ms</t>
  </si>
  <si>
    <t xml:space="preserve">dglozano@eservicios.indra.es</t>
  </si>
  <si>
    <t xml:space="preserve">http://repos.bancsabadell.com/bitbucket/scm/P4CP/ms-sys-customer-credit-rating-cirbe-sytem-cirite.git</t>
  </si>
  <si>
    <t xml:space="preserve">https://kubernetes-dashboard.apps.pro.aws.bancsabadell.com/#/configmap/pro-ns-sys/ms-sys-customer-credit-rating-cirbe-sytem-cirite-micros-app-configs?namespace=pro-ns-sys</t>
  </si>
  <si>
    <t xml:space="preserve">ms-sys-satsia</t>
  </si>
  <si>
    <t xml:space="preserve">ms-sys-satsia-micros-app-configs</t>
  </si>
  <si>
    <t xml:space="preserve">artifactory.apps.devops.aws.bancsabadell.com/p4-virtual/essabsatsia/ms-sys-satsia:1.2.7</t>
  </si>
  <si>
    <t xml:space="preserve">ms-sys-satsia-p4ms</t>
  </si>
  <si>
    <t xml:space="preserve">miquel.molist@dxc.com</t>
  </si>
  <si>
    <t xml:space="preserve">http://repos.bancsabadell.com/bitbucket/scm/ESSABSATSIA/ms-sys-satsia.git</t>
  </si>
  <si>
    <t xml:space="preserve">https://kubernetes-dashboard.apps.pro.aws.bancsabadell.com/#/configmap/pro-ns-sys/ms-sys-satsia-micros-app-configs?namespace=pro-ns-sys</t>
  </si>
  <si>
    <t xml:space="preserve">ms-sys-er-minorista-ry</t>
  </si>
  <si>
    <t xml:space="preserve">ms-sys-er-minorista-ry-micros-app-configs</t>
  </si>
  <si>
    <t xml:space="preserve">artifactory.apps.devops.aws.bancsabadell.com/p4-virtual/er/ms-sys-er-minorista-ry:0.28.0</t>
  </si>
  <si>
    <t xml:space="preserve">ms-sys-er-minorista-ry-p4ms</t>
  </si>
  <si>
    <t xml:space="preserve">http://repos.bancsabadell.com/bitbucket/scm/ER/ms-sys-er-minorista-ry.git</t>
  </si>
  <si>
    <t xml:space="preserve">0.28.0</t>
  </si>
  <si>
    <t xml:space="preserve">https://kubernetes-dashboard.apps.pro.aws.bancsabadell.com/#/configmap/pro-ns-sys/ms-sys-er-minorista-ry-micros-app-configs?namespace=pro-ns-sys</t>
  </si>
  <si>
    <t xml:space="preserve">ms-sys-market-order-vs</t>
  </si>
  <si>
    <t xml:space="preserve">ms-sys-market-order-vs-micros-app-configs</t>
  </si>
  <si>
    <t xml:space="preserve">artifactory.apps.devops.aws.bancsabadell.com/p4-virtual/vs/ms-sys-market-order-vs:1.1.5</t>
  </si>
  <si>
    <t xml:space="preserve">ms-sys-market-order-vs-p4ms</t>
  </si>
  <si>
    <t xml:space="preserve">karina.smilingyte@emeal.nttdata.com</t>
  </si>
  <si>
    <t xml:space="preserve">http://repos.bancsabadell.com/bitbucket/scm/VS/ms-sys-market-order-vs.git</t>
  </si>
  <si>
    <t xml:space="preserve">https://kubernetes-dashboard.apps.pro.aws.bancsabadell.com/#/configmap/pro-ns-sys/ms-sys-market-order-vs-micros-app-configs?namespace=pro-ns-sys</t>
  </si>
  <si>
    <t xml:space="preserve">ms-sys-public-reference-data-bs</t>
  </si>
  <si>
    <t xml:space="preserve">ms-sys-public-reference-data-bs-micros-app-configs</t>
  </si>
  <si>
    <t xml:space="preserve">artifactory.apps.devops.aws.bancsabadell.com/p4-virtual/p4cp/ms-sys-public-reference-data-bs:0.1.7</t>
  </si>
  <si>
    <t xml:space="preserve">ms-sys-public-reference-data-bs-p4ms</t>
  </si>
  <si>
    <t xml:space="preserve">http://repos.bancsabadell.com/bitbucket/scm/P4CP/ms-sys-public-reference-data-bs.git</t>
  </si>
  <si>
    <t xml:space="preserve">https://kubernetes-dashboard.apps.pro.aws.bancsabadell.com/#/configmap/pro-ns-sys/ms-sys-public-reference-data-bs-micros-app-configs?namespace=pro-ns-sys</t>
  </si>
  <si>
    <t xml:space="preserve">ms-sys-payment-rail-operations-iberpay</t>
  </si>
  <si>
    <t xml:space="preserve">ms-sys-payment-rail-operations-iberpay-micros-app-configs</t>
  </si>
  <si>
    <t xml:space="preserve">artifactory.apps.devops.aws.bancsabadell.com/p4-virtual/p4cp/ms-sys-payment-rail-operations-iberpay:0.2.7</t>
  </si>
  <si>
    <t xml:space="preserve">ms-sys-payment-rail-operations-iberpay-p4ms</t>
  </si>
  <si>
    <t xml:space="preserve">amol.suresh.relekar@accenture.com</t>
  </si>
  <si>
    <t xml:space="preserve">http://repos.bancsabadell.com/bitbucket/scm/P4CP/ms-sys-payment-rail-operations-iberpay.git</t>
  </si>
  <si>
    <t xml:space="preserve">https://kubernetes-dashboard.apps.pro.aws.bancsabadell.com/#/configmap/pro-ns-sys/ms-sys-payment-rail-operations-iberpay-micros-app-configs?namespace=pro-ns-sys</t>
  </si>
  <si>
    <t xml:space="preserve">ms-sys-payment-rail-operations-ip</t>
  </si>
  <si>
    <t xml:space="preserve">ms-sys-payment-rail-operations-ip-micros-app-configs</t>
  </si>
  <si>
    <t xml:space="preserve">artifactory.apps.devops.aws.bancsabadell.com/p4-virtual/p4cp/ms-sys-payment-rail-operations-ip:0.6.5</t>
  </si>
  <si>
    <t xml:space="preserve">ms-sys-payment-rail-operations-ip-p4ms</t>
  </si>
  <si>
    <t xml:space="preserve">http://repos.bancsabadell.com/bitbucket/scm/p4cp/ms-sys-payment-rail-operations-ip.git</t>
  </si>
  <si>
    <t xml:space="preserve">0.6.5</t>
  </si>
  <si>
    <t xml:space="preserve">https://kubernetes-dashboard.apps.pro.aws.bancsabadell.com/#/configmap/pro-ns-sys/ms-sys-payment-rail-operations-ip-micros-app-configs?namespace=pro-ns-sys</t>
  </si>
  <si>
    <t xml:space="preserve">ms-sys-insurance-dds-v1</t>
  </si>
  <si>
    <t xml:space="preserve">ms-sys-insurance-dds-v1-micros-app-configs</t>
  </si>
  <si>
    <t xml:space="preserve">artifactory.apps.devops.aws.bancsabadell.com/p4-virtual/mobi/ms-sys-insurance-dds-v1:2.0.0</t>
  </si>
  <si>
    <t xml:space="preserve">ms-sys-insurance-dds-v1-p4ms</t>
  </si>
  <si>
    <t xml:space="preserve">http://repos.bancsabadell.com/bitbucket/scm/MOBI/ms-sys-insurance-dds-v1.git</t>
  </si>
  <si>
    <t xml:space="preserve">https://kubernetes-dashboard.apps.pro.aws.bancsabadell.com/#/configmap/pro-ns-sys/ms-sys-insurance-dds-v1-micros-app-configs?namespace=pro-ns-sys</t>
  </si>
  <si>
    <t xml:space="preserve">ms-sys-servicing-order-gt-v1</t>
  </si>
  <si>
    <t xml:space="preserve">ms-sys-servicing-order-gt-v1-micros-app-configs</t>
  </si>
  <si>
    <t xml:space="preserve">artifactory.apps.devops.aws.bancsabadell.com/p4-virtual/p4cp/ms-sys-servicing-order-gt-v1:0.1.3</t>
  </si>
  <si>
    <t xml:space="preserve">ms-sys-servicing-order-gt-v1-p4ms</t>
  </si>
  <si>
    <t xml:space="preserve">http://repos.bancsabadell.com/bitbucket/scm/p4cp/ms-sys-servicing-order-gt-v1.git</t>
  </si>
  <si>
    <t xml:space="preserve">https://kubernetes-dashboard.apps.pro.aws.bancsabadell.com/#/configmap/pro-ns-sys/ms-sys-servicing-order-gt-v1-micros-app-configs?namespace=pro-ns-sys</t>
  </si>
  <si>
    <t xml:space="preserve">ms-sys-delinquent-account-handling-em</t>
  </si>
  <si>
    <t xml:space="preserve">ms-sys-delinquent-account-handling-em-micros-app-configs</t>
  </si>
  <si>
    <t xml:space="preserve">artifactory.apps.devops.aws.bancsabadell.com/p4-virtual/p4cp/ms-sys-delinquent-account-handling-em:0.1.3</t>
  </si>
  <si>
    <t xml:space="preserve">ms-sys-delinquent-account-handling-em-p4ms</t>
  </si>
  <si>
    <t xml:space="preserve">http://repos.bancsabadell.com/bitbucket/scm/P4CP/ms-sys-delinquent-account-handling-em.git</t>
  </si>
  <si>
    <t xml:space="preserve">https://kubernetes-dashboard.apps.pro.aws.bancsabadell.com/#/configmap/pro-ns-sys/ms-sys-delinquent-account-handling-em-micros-app-configs?namespace=pro-ns-sys</t>
  </si>
  <si>
    <t xml:space="preserve">ms-sys-bank-guarantee-consumer</t>
  </si>
  <si>
    <t xml:space="preserve">ms-sys-bank-guarantee-consumer-micros-app-configs</t>
  </si>
  <si>
    <t xml:space="preserve">artifactory.apps.devops.aws.bancsabadell.com/p4-virtual/p4cp/ms-sys-bank-guarantee-consumer:0.1.7</t>
  </si>
  <si>
    <t xml:space="preserve">ms-sys-bank-guarantee-consumer-p4ms</t>
  </si>
  <si>
    <t xml:space="preserve">sanjeev.d.ranjan@accenture.com</t>
  </si>
  <si>
    <t xml:space="preserve">http://repos.bancsabadell.com/bitbucket/scm/P4CP/ms-sys-bank-guarantee-consumer.git</t>
  </si>
  <si>
    <t xml:space="preserve">https://kubernetes-dashboard.apps.pro.aws.bancsabadell.com/#/configmap/pro-ns-sys/ms-sys-bank-guarantee-consumer-micros-app-configs?namespace=pro-ns-sys</t>
  </si>
  <si>
    <t xml:space="preserve">ms-sys-confirming-kf-v1</t>
  </si>
  <si>
    <t xml:space="preserve">ms-sys-confirming-kf-v1-micros-app-configs</t>
  </si>
  <si>
    <t xml:space="preserve">artifactory.apps.devops.aws.bancsabadell.com/p4-virtual/p4cp/ms-sys-confirming-kf-v1:1.1.0</t>
  </si>
  <si>
    <t xml:space="preserve">ms-sys-confirming-kf-v1-p4ms</t>
  </si>
  <si>
    <t xml:space="preserve">http://repos.bancsabadell.com/bitbucket/scm/p4cp/ms-sys-confirming-kf-v1.git</t>
  </si>
  <si>
    <t xml:space="preserve">https://kubernetes-dashboard.apps.pro.aws.bancsabadell.com/#/configmap/pro-ns-sys/ms-sys-confirming-kf-v1-micros-app-configs?namespace=pro-ns-sys</t>
  </si>
  <si>
    <t xml:space="preserve">ms-sys-consumer-loan-is</t>
  </si>
  <si>
    <t xml:space="preserve">ms-sys-consumer-loan-is-micros-app-configs</t>
  </si>
  <si>
    <t xml:space="preserve">artifactory.apps.devops.aws.bancsabadell.com/p4-virtual/p4cp/ms-sys-consumer-loan-is:2.3.60</t>
  </si>
  <si>
    <t xml:space="preserve">ms-sys-consumer-loan-is-p4ms</t>
  </si>
  <si>
    <t xml:space="preserve">http://repos.bancsabadell.com/bitbucket/scm/P4CP/ms-sys-consumer-loan-is.git</t>
  </si>
  <si>
    <t xml:space="preserve">2.3.60</t>
  </si>
  <si>
    <t xml:space="preserve">0.0.32</t>
  </si>
  <si>
    <t xml:space="preserve">https://kubernetes-dashboard.apps.pro.aws.bancsabadell.com/#/configmap/pro-ns-sys/ms-sys-consumer-loan-is-micros-app-configs?namespace=pro-ns-sys</t>
  </si>
  <si>
    <t xml:space="preserve">ms-sys-legal-entity-directory-pe-v1</t>
  </si>
  <si>
    <t xml:space="preserve">ms-sys-legal-entity-directory-pe-v1-micros-app-configs</t>
  </si>
  <si>
    <t xml:space="preserve">artifactory.apps.devops.aws.bancsabadell.com/p4-virtual/p4cp/ms-sys-legal-entity-directory-pe-v1:1.0.15</t>
  </si>
  <si>
    <t xml:space="preserve">ms-sys-legal-entity-directory-pe-v1-p4ms</t>
  </si>
  <si>
    <t xml:space="preserve">p.thamaraiselvan@accenture.com</t>
  </si>
  <si>
    <t xml:space="preserve">http://repos.bancsabadell.com/bitbucket/scm/P4CP/ms-sys-legal-entity-directory-pe-v1.git</t>
  </si>
  <si>
    <t xml:space="preserve">1.0.15</t>
  </si>
  <si>
    <t xml:space="preserve">https://kubernetes-dashboard.apps.pro.aws.bancsabadell.com/#/configmap/pro-ns-sys/ms-sys-legal-entity-directory-pe-v1-micros-app-configs?namespace=pro-ns-sys</t>
  </si>
  <si>
    <t xml:space="preserve">ms-openbanking-sys-payments</t>
  </si>
  <si>
    <t xml:space="preserve">ms-openbanking-sys-payments-micros-app-configs</t>
  </si>
  <si>
    <t xml:space="preserve">artifactory.apps.devops.aws.bancsabadell.com/p4-virtual/pisp/ms-openbanking-sys-payments:0.5.10</t>
  </si>
  <si>
    <t xml:space="preserve">ms-openbanking-sys-payments-p4ms</t>
  </si>
  <si>
    <t xml:space="preserve">http://repos.bancsabadell.com/bitbucket/scm/PISP/ms-openbanking-sys-payments.git</t>
  </si>
  <si>
    <t xml:space="preserve">0.5.10</t>
  </si>
  <si>
    <t xml:space="preserve">0.5.4</t>
  </si>
  <si>
    <t xml:space="preserve">https://kubernetes-dashboard.apps.pro.aws.bancsabadell.com/#/configmap/pro-ns-sys/ms-openbanking-sys-payments-micros-app-configs?namespace=pro-ns-sys</t>
  </si>
  <si>
    <t xml:space="preserve">ms-sys-investment-portfolio-planning-mifid</t>
  </si>
  <si>
    <t xml:space="preserve">ms-sys-investment-portfolio-planning-mifid-micros-app-configs</t>
  </si>
  <si>
    <t xml:space="preserve">artifactory.apps.devops.aws.bancsabadell.com/p4-virtual/p4gc/ms-sys-investment-portfolio-planning-mifid:1.4.0</t>
  </si>
  <si>
    <t xml:space="preserve">ms-sys-investment-portfolio-planning-mifid-p4ms</t>
  </si>
  <si>
    <t xml:space="preserve">cristian.arias.salgado@emeal.nttdata.com</t>
  </si>
  <si>
    <t xml:space="preserve">http://repos.bancsabadell.com/bitbucket/scm/P4GC/ms-sys-investment-portfolio-planning-mifid.git</t>
  </si>
  <si>
    <t xml:space="preserve">https://kubernetes-dashboard.apps.pro.aws.bancsabadell.com/#/configmap/pro-ns-sys/ms-sys-investment-portfolio-planning-mifid-micros-app-configs?namespace=pro-ns-sys</t>
  </si>
  <si>
    <t xml:space="preserve">ms-dds-sys-transactions-v3</t>
  </si>
  <si>
    <t xml:space="preserve">ms-dds-sys-transactions-v3-micros-app-configs</t>
  </si>
  <si>
    <t xml:space="preserve">artifactory.apps.devops.aws.bancsabadell.com/p4-virtual/dds/ms-dds-sys-transactions-v3:3.1.13</t>
  </si>
  <si>
    <t xml:space="preserve">ms-dds-sys-transactions-v3-p4ms</t>
  </si>
  <si>
    <t xml:space="preserve">alejandro.cordero@pragsis.com</t>
  </si>
  <si>
    <t xml:space="preserve">http://repos.bancsabadell.com/bitbucket/scm/DDS/ms-dds-sys-transactions-v3.git</t>
  </si>
  <si>
    <t xml:space="preserve">3.1.13</t>
  </si>
  <si>
    <t xml:space="preserve">3.1.1</t>
  </si>
  <si>
    <t xml:space="preserve">https://kubernetes-dashboard.apps.pro.aws.bancsabadell.com/#/configmap/pro-ns-sys/ms-dds-sys-transactions-v3-micros-app-configs?namespace=pro-ns-sys</t>
  </si>
  <si>
    <t xml:space="preserve">ms-sys-investment-account-dds-v1</t>
  </si>
  <si>
    <t xml:space="preserve">ms-sys-investment-account-dds-v1-micros-app-configs</t>
  </si>
  <si>
    <t xml:space="preserve">artifactory.apps.devops.aws.bancsabadell.com/p4-virtual/mobi/ms-sys-investment-account-dds-v1:2.0.0</t>
  </si>
  <si>
    <t xml:space="preserve">ms-sys-investment-account-dds-v1-p4ms</t>
  </si>
  <si>
    <t xml:space="preserve">http://repos.bancsabadell.com/bitbucket/scm/MOBI/ms-sys-investment-account-dds-v1.git</t>
  </si>
  <si>
    <t xml:space="preserve">https://kubernetes-dashboard.apps.pro.aws.bancsabadell.com/#/configmap/pro-ns-sys/ms-sys-investment-account-dds-v1-micros-app-configs?namespace=pro-ns-sys</t>
  </si>
  <si>
    <t xml:space="preserve">ms-sys-er-minorista-bn</t>
  </si>
  <si>
    <t xml:space="preserve">ms-sys-er-minorista-bn-micros-app-configs</t>
  </si>
  <si>
    <t xml:space="preserve">artifactory.apps.devops.aws.bancsabadell.com/p4-virtual/er/ms-sys-er-minorista-bn:0.26.4</t>
  </si>
  <si>
    <t xml:space="preserve">ms-sys-er-minorista-bn-p4ms</t>
  </si>
  <si>
    <t xml:space="preserve">http://repos.bancsabadell.com/bitbucket/scm/ER/ms-sys-er-minorista-bn.git</t>
  </si>
  <si>
    <t xml:space="preserve">0.26.4</t>
  </si>
  <si>
    <t xml:space="preserve">https://kubernetes-dashboard.apps.pro.aws.bancsabadell.com/#/configmap/pro-ns-sys/ms-sys-er-minorista-bn-micros-app-configs?namespace=pro-ns-sys</t>
  </si>
  <si>
    <t xml:space="preserve">ms-sys-customer-relationship-management-ags</t>
  </si>
  <si>
    <t xml:space="preserve">ms-sys-customer-relationship-management-ags-micros-app-configs</t>
  </si>
  <si>
    <t xml:space="preserve">artifactory.apps.devops.aws.bancsabadell.com/p4-virtual/p4cp/ms-sys-customer-relationship-management-ags:1.1.4</t>
  </si>
  <si>
    <t xml:space="preserve">ms-sys-customer-relationship-management-ags-p4ms</t>
  </si>
  <si>
    <t xml:space="preserve">madhu.h.m@accenture.com</t>
  </si>
  <si>
    <t xml:space="preserve">http://repos.bancsabadell.com/bitbucket/scm/P4CP/ms-sys-customer-relationship-management-ags.git</t>
  </si>
  <si>
    <t xml:space="preserve">https://kubernetes-dashboard.apps.pro.aws.bancsabadell.com/#/configmap/pro-ns-sys/ms-sys-customer-relationship-management-ags-micros-app-configs?namespace=pro-ns-sys</t>
  </si>
  <si>
    <t xml:space="preserve">ms-sys-fraud-resolution-system-rsa-v1</t>
  </si>
  <si>
    <t xml:space="preserve">ms-sys-fraud-resolution-system-rsa-v1-micros-app-configs</t>
  </si>
  <si>
    <t xml:space="preserve">artifactory.apps.devops.aws.bancsabadell.com/p4-virtual/essabphishing/ms-sys-fraud-resolution-system-rsa-v1:1.0.6</t>
  </si>
  <si>
    <t xml:space="preserve">ms-sys-fraud-resolution-system-rsa-v1-p4ms</t>
  </si>
  <si>
    <t xml:space="preserve">http://repos.bancsabadell.com/bitbucket/scm/ESSABPHISHING/ms-sys-fraud-resolution-system-rsa-v1.git</t>
  </si>
  <si>
    <t xml:space="preserve">https://kubernetes-dashboard.apps.pro.aws.bancsabadell.com/#/configmap/pro-ns-sys/ms-sys-fraud-resolution-system-rsa-v1-micros-app-configs?namespace=pro-ns-sys</t>
  </si>
  <si>
    <t xml:space="preserve">ms-sys-payment-initiation-xs-v1</t>
  </si>
  <si>
    <t xml:space="preserve">ms-sys-payment-initiation-xs-v1-micros-app-configs</t>
  </si>
  <si>
    <t xml:space="preserve">artifactory.apps.devops.aws.bancsabadell.com/p4-virtual/p4cp/ms-sys-payment-initiation-xs-v1:1.0.0</t>
  </si>
  <si>
    <t xml:space="preserve">ms-sys-payment-initiation-xs-v1-p4ms</t>
  </si>
  <si>
    <t xml:space="preserve">http://repos.bancsabadell.com/bitbucket/scm/p4cp/ms-sys-payment-initiation-xs-v1.git</t>
  </si>
  <si>
    <t xml:space="preserve">3.2.0</t>
  </si>
  <si>
    <t xml:space="preserve">https://kubernetes-dashboard.apps.pro.aws.bancsabadell.com/#/configmap/pro-ns-sys/ms-sys-payment-initiation-xs-v1-micros-app-configs?namespace=pro-ns-sys</t>
  </si>
  <si>
    <t xml:space="preserve">ms-sys-location-data-management-snowdrop-v1</t>
  </si>
  <si>
    <t xml:space="preserve">ms-sys-location-data-management-snowdrop-v1-micros-app-configs</t>
  </si>
  <si>
    <t xml:space="preserve">artifactory.apps.devops.aws.bancsabadell.com/p4-virtual/p4cp/ms-sys-location-data-management-snowdrop-v1:1.0.7</t>
  </si>
  <si>
    <t xml:space="preserve">ms-sys-location-data-management-snowdrop-v1-p4ms</t>
  </si>
  <si>
    <t xml:space="preserve">http://repos.bancsabadell.com/bitbucket/scm/P4CP/ms-sys-location-data-management-snowdrop-v1.git</t>
  </si>
  <si>
    <t xml:space="preserve">https://kubernetes-dashboard.apps.pro.aws.bancsabadell.com/#/configmap/pro-ns-sys/ms-sys-location-data-management-snowdrop-v1-micros-app-configs?namespace=pro-ns-sys</t>
  </si>
  <si>
    <t xml:space="preserve">ms-sys-party-reference-data-dds-v1</t>
  </si>
  <si>
    <t xml:space="preserve">ms-sys-party-reference-data-dds-v1-micros-app-configs</t>
  </si>
  <si>
    <t xml:space="preserve">artifactory.apps.devops.aws.bancsabadell.com/p4-virtual/mobi/ms-sys-party-reference-data-dds-v1:2.0.0</t>
  </si>
  <si>
    <t xml:space="preserve">ms-sys-party-reference-data-dds-v1-p4ms</t>
  </si>
  <si>
    <t xml:space="preserve">http://repos.bancsabadell.com/bitbucket/scm/MOBI/ms-sys-party-reference-data-dds-v1.git</t>
  </si>
  <si>
    <t xml:space="preserve">https://kubernetes-dashboard.apps.pro.aws.bancsabadell.com/#/configmap/pro-ns-sys/ms-sys-party-reference-data-dds-v1-micros-app-configs?namespace=pro-ns-sys</t>
  </si>
  <si>
    <t xml:space="preserve">ms-sys-public-reference-data-system-bp-v1</t>
  </si>
  <si>
    <t xml:space="preserve">ms-sys-public-reference-data-system-bp-v1-micros-app-configs</t>
  </si>
  <si>
    <t xml:space="preserve">artifactory.apps.devops.aws.bancsabadell.com/p4-virtual/p4cp/ms-sys-public-reference-data-system-bp-v1:1.2.0</t>
  </si>
  <si>
    <t xml:space="preserve">ms-sys-public-reference-data-system-bp-v1-p4ms</t>
  </si>
  <si>
    <t xml:space="preserve">http://repos.bancsabadell.com/bitbucket/scm/P4CP/ms-sys-public-reference-data-system-bp-v1.git</t>
  </si>
  <si>
    <t xml:space="preserve">https://kubernetes-dashboard.apps.pro.aws.bancsabadell.com/#/configmap/pro-ns-sys/ms-sys-public-reference-data-system-bp-v1-micros-app-configs?namespace=pro-ns-sys</t>
  </si>
  <si>
    <t xml:space="preserve">ms-sys-party-reference-data-pe-v2</t>
  </si>
  <si>
    <t xml:space="preserve">ms-sys-party-reference-data-pe-v2-micros-app-configs</t>
  </si>
  <si>
    <t xml:space="preserve">artifactory.apps.devops.aws.bancsabadell.com/p4-virtual/p4cp/ms-sys-party-reference-data-pe-v2:1.8.4</t>
  </si>
  <si>
    <t xml:space="preserve">ms-sys-party-reference-data-pe-v2-p4ms</t>
  </si>
  <si>
    <t xml:space="preserve">http://repos.bancsabadell.com/bitbucket/scm/P4CP/ms-sys-party-reference-data-pe-v2.git</t>
  </si>
  <si>
    <t xml:space="preserve">1.8.4</t>
  </si>
  <si>
    <t xml:space="preserve">1.16.5</t>
  </si>
  <si>
    <t xml:space="preserve">https://kubernetes-dashboard.apps.pro.aws.bancsabadell.com/#/configmap/pro-ns-sys/ms-sys-party-reference-data-pe-v2-micros-app-configs?namespace=pro-ns-sys</t>
  </si>
  <si>
    <t xml:space="preserve">ms-sys-remote-office</t>
  </si>
  <si>
    <t xml:space="preserve">ms-sys-remote-office-micros-app-configs</t>
  </si>
  <si>
    <t xml:space="preserve">artifactory.apps.devops.aws.bancsabadell.com/p4-virtual/ofre/ms-sys-remote-office:0.1.6</t>
  </si>
  <si>
    <t xml:space="preserve">ms-sys-remote-office-p4ms</t>
  </si>
  <si>
    <t xml:space="preserve">miguel.franco.torres@nttdata.com</t>
  </si>
  <si>
    <t xml:space="preserve">http://repos.bancsabadell.com/bitbucket/scm/OFRE/ms-sys-remote-office-v0.git</t>
  </si>
  <si>
    <t xml:space="preserve">https://kubernetes-dashboard.apps.pro.aws.bancsabadell.com/#/configmap/pro-ns-sys/ms-sys-remote-office-micros-app-configs?namespace=pro-ns-sys</t>
  </si>
  <si>
    <t xml:space="preserve">ms-sys-correspondence-ia-v2</t>
  </si>
  <si>
    <t xml:space="preserve">ms-sys-correspondence-ia-v2-micros-app-configs</t>
  </si>
  <si>
    <t xml:space="preserve">artifactory.apps.devops.aws.bancsabadell.com/p4-virtual/p4cp/ms-sys-correspondence-ia-v2:1.0.9</t>
  </si>
  <si>
    <t xml:space="preserve">ms-sys-correspondence-ia-v2-p4ms</t>
  </si>
  <si>
    <t xml:space="preserve">n.a.bhanu.prakash@accenture.com</t>
  </si>
  <si>
    <t xml:space="preserve">http://repos.bancsabadell.com/bitbucket/scm/P4CP/ms-sys-correspondence-ia-v2.git</t>
  </si>
  <si>
    <t xml:space="preserve">https://kubernetes-dashboard.apps.pro.aws.bancsabadell.com/#/configmap/pro-ns-sys/ms-sys-correspondence-ia-v2-micros-app-configs?namespace=pro-ns-sys</t>
  </si>
  <si>
    <t xml:space="preserve">ms-sys-ai-agents</t>
  </si>
  <si>
    <t xml:space="preserve">ms-sys-ai-agents-micros-py-configs</t>
  </si>
  <si>
    <t xml:space="preserve">artifactory.apps.devops.aws.bancsabadell.com/p4-virtual/ms-sys-ai-agents:1.0.8</t>
  </si>
  <si>
    <t xml:space="preserve">ms-sys-ai-agents-p4mspy</t>
  </si>
  <si>
    <t xml:space="preserve">http://repos.bancsabadell.com/bitbucket/scm/ESSAB_P4_AI/ms-sys-ai-agents.git</t>
  </si>
  <si>
    <t xml:space="preserve">1.0.25</t>
  </si>
  <si>
    <t xml:space="preserve">https://kubernetes-dashboard.apps.pro.aws.bancsabadell.com/#/configmap/pro-ns-sys/ms-sys-ai-agents-micros-py-configs?namespace=pro-ns-sys</t>
  </si>
  <si>
    <t xml:space="preserve">ms-sys-xy-common-data</t>
  </si>
  <si>
    <t xml:space="preserve">ms-sys-xy-common-data-micros-app-configs</t>
  </si>
  <si>
    <t xml:space="preserve">artifactory.apps.devops.aws.bancsabadell.com/p4-virtual/p4cp/ms-sys-xy-common-data:1.1.0</t>
  </si>
  <si>
    <t xml:space="preserve">ms-sys-xy-common-data-p4ms</t>
  </si>
  <si>
    <t xml:space="preserve">http://repos.bancsabadell.com/bitbucket/scm/P4CP/ms-sys-xy-common-data.git</t>
  </si>
  <si>
    <t xml:space="preserve">https://kubernetes-dashboard.apps.pro.aws.bancsabadell.com/#/configmap/pro-ns-sys/ms-sys-xy-common-data-micros-app-configs?namespace=pro-ns-sys</t>
  </si>
  <si>
    <t xml:space="preserve">ms-sys-merchant-acquiring-facility-system-ta-v1</t>
  </si>
  <si>
    <t xml:space="preserve">ms-sys-merchant-acquiring-facility-system-ta-v1-micros-app-configs</t>
  </si>
  <si>
    <t xml:space="preserve">artifactory.apps.devops.aws.bancsabadell.com/p4-virtual/p4cp/ms-sys-merchant-acquiring-facility-system-ta-v1:1.0.11</t>
  </si>
  <si>
    <t xml:space="preserve">ms-sys-merchant-acquiring-facility-system-ta-v1-p4ms</t>
  </si>
  <si>
    <t xml:space="preserve">http://repos.bancsabadell.com/bitbucket/scm/P4CP/ms-sys-merchant-acquiring-facility-system-ta-v1.git</t>
  </si>
  <si>
    <t xml:space="preserve">https://kubernetes-dashboard.apps.pro.aws.bancsabadell.com/#/configmap/pro-ns-sys/ms-sys-merchant-acquiring-facility-system-ta-v1-micros-app-configs?namespace=pro-ns-sys</t>
  </si>
  <si>
    <t xml:space="preserve">ms-sys-correspondence-v2</t>
  </si>
  <si>
    <t xml:space="preserve">ms-sys-correspondence-v2-micros-app-configs</t>
  </si>
  <si>
    <t xml:space="preserve">artifactory.apps.devops.aws.bancsabadell.com/p4-virtual/p4des/ms-sys-correspondence-v2:2.0.1</t>
  </si>
  <si>
    <t xml:space="preserve">ms-sys-correspondence-v2-p4ms</t>
  </si>
  <si>
    <t xml:space="preserve">PIRISD@sabadelldigital.com</t>
  </si>
  <si>
    <t xml:space="preserve">https://bitbucket.apps.devops.aws.bancsabadell.com/scm/p4des/ms-sys-correspondence-v2.git</t>
  </si>
  <si>
    <t xml:space="preserve">https://kubernetes-dashboard.apps.pro.aws.bancsabadell.com/#/configmap/pro-ns-sys/ms-sys-correspondence-v2-micros-app-configs?namespace=pro-ns-sys</t>
  </si>
  <si>
    <t xml:space="preserve">ms-sys-servicenow-menudesa</t>
  </si>
  <si>
    <t xml:space="preserve">ms-sys-servicenow-menudesa-micros-app-configs</t>
  </si>
  <si>
    <t xml:space="preserve">artifactory.apps.devops.aws.bancsabadell.com/p4-virtual/endpointservicenowmenudesa/ms-sys-servicenow-menudesa:2.1.0</t>
  </si>
  <si>
    <t xml:space="preserve">ms-sys-servicenow-menudesa-p4ms</t>
  </si>
  <si>
    <t xml:space="preserve">rlogonza@emeal.nttdata.com</t>
  </si>
  <si>
    <t xml:space="preserve">http://repos.bancsabadell.com/bitbucket/scm/ENDPOINTSERVICENOWMENUDESA/ms-sys-servicenow-menudesa.git</t>
  </si>
  <si>
    <t xml:space="preserve">https://kubernetes-dashboard.apps.pro.aws.bancsabadell.com/#/configmap/pro-ns-sys/ms-sys-servicenow-menudesa-micros-app-configs?namespace=pro-ns-sys</t>
  </si>
  <si>
    <t xml:space="preserve">ms-sys-onfido</t>
  </si>
  <si>
    <t xml:space="preserve">ms-sys-onfido-micros-app-configs</t>
  </si>
  <si>
    <t xml:space="preserve">artifactory.apps.devops.aws.bancsabadell.com/p4-virtual/p4cp/ms-sys-onfido:0.8.0</t>
  </si>
  <si>
    <t xml:space="preserve">ms-sys-onfido-p4ms</t>
  </si>
  <si>
    <t xml:space="preserve">dgimenez@nttdata.com</t>
  </si>
  <si>
    <t xml:space="preserve">http://repos.bancsabadell.com/bitbucket/scm/p4cp/ms-sys-onfido.git</t>
  </si>
  <si>
    <t xml:space="preserve">0.8.0</t>
  </si>
  <si>
    <t xml:space="preserve">0.3.15</t>
  </si>
  <si>
    <t xml:space="preserve">https://kubernetes-dashboard.apps.pro.aws.bancsabadell.com/#/configmap/pro-ns-sys/ms-sys-onfido-micros-app-configs?namespace=pro-ns-sys</t>
  </si>
  <si>
    <t xml:space="preserve">ms-sys-kid-document-manager</t>
  </si>
  <si>
    <t xml:space="preserve">ms-sys-kid-document-manager-micros-app-configs</t>
  </si>
  <si>
    <t xml:space="preserve">artifactory.apps.devops.aws.bancsabadell.com/p4-virtual/vs/ms-sys-kid-document-manager:1.0.2</t>
  </si>
  <si>
    <t xml:space="preserve">ms-sys-kid-document-manager-p4ms</t>
  </si>
  <si>
    <t xml:space="preserve">karina.smilingyte@emeal.nttdat.acom</t>
  </si>
  <si>
    <t xml:space="preserve">http://repos.bancsabadell.com/bitbucket/scm/vs/ms-sys-kid-document-manager.git</t>
  </si>
  <si>
    <t xml:space="preserve">https://kubernetes-dashboard.apps.pro.aws.bancsabadell.com/#/configmap/pro-ns-sys/ms-sys-kid-document-manager-micros-app-configs?namespace=pro-ns-sys</t>
  </si>
  <si>
    <t xml:space="preserve">ms-sys-consumer-loan-system-pr</t>
  </si>
  <si>
    <t xml:space="preserve">ms-sys-consumer-loan-system-pr-micros-app-configs</t>
  </si>
  <si>
    <t xml:space="preserve">artifactory.apps.devops.aws.bancsabadell.com/p4-virtual/p4cp/ms-sys-consumer-loan-system-pr:1.0.14</t>
  </si>
  <si>
    <t xml:space="preserve">ms-sys-consumer-loan-system-pr-p4ms</t>
  </si>
  <si>
    <t xml:space="preserve">http://repos.bancsabadell.com/bitbucket/scm/P4CP/ms-sys-consumer-loan-system-pr.git</t>
  </si>
  <si>
    <t xml:space="preserve">https://kubernetes-dashboard.apps.pro.aws.bancsabadell.com/#/configmap/pro-ns-sys/ms-sys-consumer-loan-system-pr-micros-app-configs?namespace=pro-ns-sys</t>
  </si>
  <si>
    <t xml:space="preserve">ms-sys-payment-rail-operations-reclaims</t>
  </si>
  <si>
    <t xml:space="preserve">ms-sys-payment-rail-operations-reclaims-micros-app-configs</t>
  </si>
  <si>
    <t xml:space="preserve">artifactory.apps.devops.aws.bancsabadell.com/p4-virtual/p4cp/ms-sys-payment-rail-operations-reclaims:0.6.2</t>
  </si>
  <si>
    <t xml:space="preserve">ms-sys-payment-rail-operations-reclaims-p4ms</t>
  </si>
  <si>
    <t xml:space="preserve">http://repos.bancsabadell.com/bitbucket/scm/P4CP/ms-sys-payment-rail-operations-reclaims.git</t>
  </si>
  <si>
    <t xml:space="preserve">0.6.2</t>
  </si>
  <si>
    <t xml:space="preserve">https://kubernetes-dashboard.apps.pro.aws.bancsabadell.com/#/configmap/pro-ns-sys/ms-sys-payment-rail-operations-reclaims-micros-app-configs?namespace=pro-ns-sys</t>
  </si>
  <si>
    <t xml:space="preserve">ms-sys-customer-manager-ge</t>
  </si>
  <si>
    <t xml:space="preserve">ms-sys-customer-manager-ge-micros-app-configs</t>
  </si>
  <si>
    <t xml:space="preserve">artifactory.apps.devops.aws.bancsabadell.com/p4-virtual/p4cp/ms-sys-customer-manager-ge:2.0.2</t>
  </si>
  <si>
    <t xml:space="preserve">ms-sys-customer-manager-ge-p4ms</t>
  </si>
  <si>
    <t xml:space="preserve">http://repos.bancsabadell.com/bitbucket/scm/p4cp/ms-sys-customer-manager-ge.git</t>
  </si>
  <si>
    <t xml:space="preserve">https://kubernetes-dashboard.apps.pro.aws.bancsabadell.com/#/configmap/pro-ns-sys/ms-sys-customer-manager-ge-micros-app-configs?namespace=pro-ns-sys</t>
  </si>
  <si>
    <t xml:space="preserve">ms-sys-customer-relationship-management-zendesk-v1</t>
  </si>
  <si>
    <t xml:space="preserve">ms-sys-customer-relationship-management-zendesk-v1-micros-app-configs</t>
  </si>
  <si>
    <t xml:space="preserve">artifactory.apps.devops.aws.bancsabadell.com/p4-virtual/p4cp/ms-sys-customer-relationship-management-zendesk-v1:1.1.29</t>
  </si>
  <si>
    <t xml:space="preserve">ms-sys-customer-relationship-management-zendesk-v1-p4ms</t>
  </si>
  <si>
    <t xml:space="preserve">http://repos.bancsabadell.com/bitbucket/scm/P4CP/ms-sys-customer-relationship-management-zendesk-v1.git</t>
  </si>
  <si>
    <t xml:space="preserve">1.1.29</t>
  </si>
  <si>
    <t xml:space="preserve">https://kubernetes-dashboard.apps.pro.aws.bancsabadell.com/#/configmap/pro-ns-sys/ms-sys-customer-relationship-management-zendesk-v1-micros-app-configs?namespace=pro-ns-sys</t>
  </si>
  <si>
    <t xml:space="preserve">ms-sys-customer-tax-handling-system-ic-v1</t>
  </si>
  <si>
    <t xml:space="preserve">ms-sys-customer-tax-handling-system-ic-v1-micros-app-configs</t>
  </si>
  <si>
    <t xml:space="preserve">artifactory.apps.devops.aws.bancsabadell.com/p4-virtual/p4cp/ms-sys-customer-tax-handling-system-ic-v1:2.1.1</t>
  </si>
  <si>
    <t xml:space="preserve">ms-sys-customer-tax-handling-system-ic-v1-p4ms</t>
  </si>
  <si>
    <t xml:space="preserve">http://repos.bancsabadell.com/bitbucket/scm/P4CP/ms-sys-customer-tax-handling-system-ic-v1.git</t>
  </si>
  <si>
    <t xml:space="preserve">https://kubernetes-dashboard.apps.pro.aws.bancsabadell.com/#/configmap/pro-ns-sys/ms-sys-customer-tax-handling-system-ic-v1-micros-app-configs?namespace=pro-ns-sys</t>
  </si>
  <si>
    <t xml:space="preserve">ms-sys-pccm</t>
  </si>
  <si>
    <t xml:space="preserve">ms-sys-pccm-micros-app-configs</t>
  </si>
  <si>
    <t xml:space="preserve">artifactory.apps.devops.aws.bancsabadell.com/p4-virtual/pccm/ms-sys-pccm:1.0.43</t>
  </si>
  <si>
    <t xml:space="preserve">ms-sys-pccm-p4ms</t>
  </si>
  <si>
    <t xml:space="preserve">mrodrtor@nttdata.com</t>
  </si>
  <si>
    <t xml:space="preserve">http://repos.bancsabadell.com/bitbucket/scm/PCCM/ms-sys-pccm.git</t>
  </si>
  <si>
    <t xml:space="preserve">1.0.43</t>
  </si>
  <si>
    <t xml:space="preserve">https://kubernetes-dashboard.apps.pro.aws.bancsabadell.com/#/configmap/pro-ns-sys/ms-sys-pccm-micros-app-configs?namespace=pro-ns-sys</t>
  </si>
  <si>
    <t xml:space="preserve">ms-sys-pe-connected-client</t>
  </si>
  <si>
    <t xml:space="preserve">ms-sys-pe-connected-client-micros-app-configs</t>
  </si>
  <si>
    <t xml:space="preserve">artifactory.apps.devops.aws.bancsabadell.com/p4-virtual/essabconnectedclient/ms-sys-pe-connected-client:1.0.0</t>
  </si>
  <si>
    <t xml:space="preserve">ms-sys-pe-connected-client-p4ms</t>
  </si>
  <si>
    <t xml:space="preserve">http://repos.bancsabadell.com/bitbucket/scm/ESSABCONNECTEDCLIENT/ms-sys-pe-connected-client.git</t>
  </si>
  <si>
    <t xml:space="preserve">https://kubernetes-dashboard.apps.pro.aws.bancsabadell.com/#/configmap/pro-ns-sys/ms-sys-pe-connected-client-micros-app-configs?namespace=pro-ns-sys</t>
  </si>
  <si>
    <t xml:space="preserve">ms-sys-light-users</t>
  </si>
  <si>
    <t xml:space="preserve">ms-sys-light-users-micros-app-configs</t>
  </si>
  <si>
    <t xml:space="preserve">artifactory.apps.devops.aws.bancsabadell.com/p4-virtual/pp4sec/ms-sys-light-users:1.0.7</t>
  </si>
  <si>
    <t xml:space="preserve">ms-sys-light-users-p4ms</t>
  </si>
  <si>
    <t xml:space="preserve">cesargarcia@paradigmadigital.com</t>
  </si>
  <si>
    <t xml:space="preserve">https://bitbucket.apps.devops.aws.bancsabadell.com/scm/PP4SEC/ms-sys-light-users.git</t>
  </si>
  <si>
    <t xml:space="preserve">https://kubernetes-dashboard.apps.pro.aws.bancsabadell.com/#/configmap/pro-ns-sys/ms-sys-light-users-micros-app-configs?namespace=pro-ns-sys</t>
  </si>
  <si>
    <t xml:space="preserve">ms-sys-market-order-execution-vs</t>
  </si>
  <si>
    <t xml:space="preserve">ms-sys-market-order-execution-vs-micros-app-configs</t>
  </si>
  <si>
    <t xml:space="preserve">artifactory.apps.devops.aws.bancsabadell.com/p4-virtual/vs/ms-sys-market-order-execution-vs:1.3.3</t>
  </si>
  <si>
    <t xml:space="preserve">ms-sys-market-order-execution-vs-p4ms</t>
  </si>
  <si>
    <t xml:space="preserve">http://repos.bancsabadell.com/bitbucket/scm/vs/ms-sys-market-order-execution-vs.git</t>
  </si>
  <si>
    <t xml:space="preserve">https://kubernetes-dashboard.apps.pro.aws.bancsabadell.com/#/configmap/pro-ns-sys/ms-sys-market-order-execution-vs-micros-app-configs?namespace=pro-ns-sys</t>
  </si>
  <si>
    <t xml:space="preserve">ms-sys-current-account-aggregation-pe-v0</t>
  </si>
  <si>
    <t xml:space="preserve">ms-sys-current-account-aggregation-pe-v0-micros-app-configs</t>
  </si>
  <si>
    <t xml:space="preserve">artifactory.apps.devops.aws.bancsabadell.com/p4-virtual/p4cp/ms-sys-current-account-aggregation-pe-v0:1.2.0</t>
  </si>
  <si>
    <t xml:space="preserve">ms-sys-current-account-aggregation-pe-v0-p4ms</t>
  </si>
  <si>
    <t xml:space="preserve">P830439@adgbs.com</t>
  </si>
  <si>
    <t xml:space="preserve">http://repos.bancsabadell.com/bitbucket/scm/P4CP/ms-sys-current-account-aggregation-pe-v0.git</t>
  </si>
  <si>
    <t xml:space="preserve">https://kubernetes-dashboard.apps.pro.aws.bancsabadell.com/#/configmap/pro-ns-sys/ms-sys-current-account-aggregation-pe-v0-micros-app-configs?namespace=pro-ns-sys</t>
  </si>
  <si>
    <t xml:space="preserve">ms-sys-cards-system-ih-v2</t>
  </si>
  <si>
    <t xml:space="preserve">ms-sys-cards-system-ih-v2-micros-app-configs</t>
  </si>
  <si>
    <t xml:space="preserve">artifactory.apps.devops.aws.bancsabadell.com/p4-virtual/p4cp/ms-sys-cards-system-ih-v2:3.0.13</t>
  </si>
  <si>
    <t xml:space="preserve">ms-sys-cards-system-ih-v2-p4ms</t>
  </si>
  <si>
    <t xml:space="preserve">http://repos.bancsabadell.com/bitbucket/scm/P4CP/ms-sys-cards-system-ih-v2.git</t>
  </si>
  <si>
    <t xml:space="preserve">3.0.13</t>
  </si>
  <si>
    <t xml:space="preserve">https://kubernetes-dashboard.apps.pro.aws.bancsabadell.com/#/configmap/pro-ns-sys/ms-sys-cards-system-ih-v2-micros-app-configs?namespace=pro-ns-sys</t>
  </si>
  <si>
    <t xml:space="preserve">ms-sys-digital-signature-logalty</t>
  </si>
  <si>
    <t xml:space="preserve">ms-sys-digital-signature-logalty-micros-app-configs</t>
  </si>
  <si>
    <t xml:space="preserve">artifactory.apps.devops.aws.bancsabadell.com/p4-virtual/p4cp/ms-sys-digital-signature-logalty:1.0.7</t>
  </si>
  <si>
    <t xml:space="preserve">ms-sys-digital-signature-logalty-p4ms</t>
  </si>
  <si>
    <t xml:space="preserve">http://repos.bancsabadell.com/bitbucket/scm/P4CP/ms-sys-digital-signature-logalty.git</t>
  </si>
  <si>
    <t xml:space="preserve">https://kubernetes-dashboard.apps.pro.aws.bancsabadell.com/#/configmap/pro-ns-sys/ms-sys-digital-signature-logalty-micros-app-configs?namespace=pro-ns-sys</t>
  </si>
  <si>
    <t xml:space="preserve">ms-sys-card-case-digital</t>
  </si>
  <si>
    <t xml:space="preserve">ms-sys-card-case-digital-micros-app-configs</t>
  </si>
  <si>
    <t xml:space="preserve">artifactory.apps.devops.aws.bancsabadell.com/p4-virtual/p4cp/ms-sys-card-case-digital:1.1.7</t>
  </si>
  <si>
    <t xml:space="preserve">ms-sys-card-case-digital-p4ms</t>
  </si>
  <si>
    <t xml:space="preserve">http://repos.bancsabadell.com/bitbucket/scm/P4CP/ms-sys-card-case-digital.git</t>
  </si>
  <si>
    <t xml:space="preserve">1.1.7</t>
  </si>
  <si>
    <t xml:space="preserve">https://kubernetes-dashboard.apps.pro.aws.bancsabadell.com/#/configmap/pro-ns-sys/ms-sys-card-case-digital-micros-app-configs?namespace=pro-ns-sys</t>
  </si>
  <si>
    <t xml:space="preserve">ms-sys-thai-v1</t>
  </si>
  <si>
    <t xml:space="preserve">ms-sys-thai-v1-micros-app-configs</t>
  </si>
  <si>
    <t xml:space="preserve">artifactory.apps.devops.aws.bancsabadell.com/p4-virtual/p4gc/ms-sys-thai-v1:1.3.3</t>
  </si>
  <si>
    <t xml:space="preserve">ms-sys-thai-v1-p4ms</t>
  </si>
  <si>
    <t xml:space="preserve">sergio.larademarcos@emeal.nttdata.com</t>
  </si>
  <si>
    <t xml:space="preserve">http://repos.bancsabadell.com/bitbucket/scm/P4GC/ms-sys-thai-v1.git</t>
  </si>
  <si>
    <t xml:space="preserve">https://kubernetes-dashboard.apps.pro.aws.bancsabadell.com/#/configmap/pro-ns-sys/ms-sys-thai-v1-micros-app-configs?namespace=pro-ns-sys</t>
  </si>
  <si>
    <t xml:space="preserve">ms-sys-onboarding-customers</t>
  </si>
  <si>
    <t xml:space="preserve">ms-sys-onboarding-customers-micros-app-configs</t>
  </si>
  <si>
    <t xml:space="preserve">artifactory.apps.devops.aws.bancsabadell.com/p4-virtual/p4cp/ms-sys-onboarding-customers:0.5.1</t>
  </si>
  <si>
    <t xml:space="preserve">ms-sys-onboarding-customers-p4ms</t>
  </si>
  <si>
    <t xml:space="preserve">http://repos.bancsabadell.com/bitbucket/scm/P4CP/ms-sys-onboarding-customers.git</t>
  </si>
  <si>
    <t xml:space="preserve">0.5.1</t>
  </si>
  <si>
    <t xml:space="preserve">https://kubernetes-dashboard.apps.pro.aws.bancsabadell.com/#/configmap/pro-ns-sys/ms-sys-onboarding-customers-micros-app-configs?namespace=pro-ns-sys</t>
  </si>
  <si>
    <t xml:space="preserve">ms-sys-bureaux</t>
  </si>
  <si>
    <t xml:space="preserve">ms-sys-bureaux-micros-app-configs</t>
  </si>
  <si>
    <t xml:space="preserve">artifactory.apps.devops.aws.bancsabadell.com/p4-virtual/experian/ms-sys-bureaux:1.0.33</t>
  </si>
  <si>
    <t xml:space="preserve">ms-sys-bureaux-p4ms</t>
  </si>
  <si>
    <t xml:space="preserve">http://repos.bancsabadell.com/bitbucket/scm/EXPERIAN/ms-sys-bureaux.git</t>
  </si>
  <si>
    <t xml:space="preserve">1.0.33</t>
  </si>
  <si>
    <t xml:space="preserve">https://kubernetes-dashboard.apps.pro.aws.bancsabadell.com/#/configmap/pro-ns-sys/ms-sys-bureaux-micros-app-configs?namespace=pro-ns-sys</t>
  </si>
  <si>
    <t xml:space="preserve">ms-sys-current-account-system-dv-v1</t>
  </si>
  <si>
    <t xml:space="preserve">ms-sys-current-account-system-dv-v1-micros-app-configs</t>
  </si>
  <si>
    <t xml:space="preserve">artifactory.apps.devops.aws.bancsabadell.com/p4-virtual/p4cp/ms-sys-current-account-system-dv-v1:2.0.2</t>
  </si>
  <si>
    <t xml:space="preserve">ms-sys-current-account-system-dv-v1-p4ms</t>
  </si>
  <si>
    <t xml:space="preserve">http://repos.bancsabadell.com/bitbucket/scm/P4CP/ms-sys-current-account-system-dv-v1.git</t>
  </si>
  <si>
    <t xml:space="preserve">https://kubernetes-dashboard.apps.pro.aws.bancsabadell.com/#/configmap/pro-ns-sys/ms-sys-current-account-system-dv-v1-micros-app-configs?namespace=pro-ns-sys</t>
  </si>
  <si>
    <t xml:space="preserve">ms-sys-payment-order-v1</t>
  </si>
  <si>
    <t xml:space="preserve">ms-sys-payment-order-v1-micros-app-configs</t>
  </si>
  <si>
    <t xml:space="preserve">artifactory.apps.devops.aws.bancsabadell.com/p4-virtual/p4cp/ms-sys-payment-order-v1:1.2.2</t>
  </si>
  <si>
    <t xml:space="preserve">ms-sys-payment-order-v1-p4ms</t>
  </si>
  <si>
    <t xml:space="preserve">http://repos.bancsabadell.com/bitbucket/scm/p4cp/ms-sys-payment-order-v1.git</t>
  </si>
  <si>
    <t xml:space="preserve">https://kubernetes-dashboard.apps.pro.aws.bancsabadell.com/#/configmap/pro-ns-sys/ms-sys-payment-order-v1-micros-app-configs?namespace=pro-ns-sys</t>
  </si>
  <si>
    <t xml:space="preserve">ms-openbanking-sys-categorization</t>
  </si>
  <si>
    <t xml:space="preserve">ms-openbanking-sys-categorization-micros-app-configs</t>
  </si>
  <si>
    <t xml:space="preserve">artifactory.apps.devops.aws.bancsabadell.com/p4-virtual/aisp/ms-openbanking-sys-categorization:0.6.4</t>
  </si>
  <si>
    <t xml:space="preserve">ms-openbanking-sys-categorization-p4ms</t>
  </si>
  <si>
    <t xml:space="preserve">http://repos.bancsabadell.com/bitbucket/scm/AISP/ms-openbanking-sys-categorization.git</t>
  </si>
  <si>
    <t xml:space="preserve">0.6.4</t>
  </si>
  <si>
    <t xml:space="preserve">0.5.40</t>
  </si>
  <si>
    <t xml:space="preserve">https://kubernetes-dashboard.apps.pro.aws.bancsabadell.com/#/configmap/pro-ns-sys/ms-openbanking-sys-categorization-micros-app-configs?namespace=pro-ns-sys</t>
  </si>
  <si>
    <t xml:space="preserve">ms-sys-underwriting-system-sp</t>
  </si>
  <si>
    <t xml:space="preserve">ms-sys-underwriting-system-sp-micros-app-configs</t>
  </si>
  <si>
    <t xml:space="preserve">artifactory.apps.devops.aws.bancsabadell.com/p4-virtual/p4cp/ms-sys-underwriting-system-sp:2.0.10</t>
  </si>
  <si>
    <t xml:space="preserve">ms-sys-underwriting-system-sp-p4ms</t>
  </si>
  <si>
    <t xml:space="preserve">xatset@minsait.com</t>
  </si>
  <si>
    <t xml:space="preserve">http://repos.bancsabadell.com/bitbucket/scm/P4CP/ms-sys-underwriting-system-sp.git</t>
  </si>
  <si>
    <t xml:space="preserve">2.0.10</t>
  </si>
  <si>
    <t xml:space="preserve">https://kubernetes-dashboard.apps.pro.aws.bancsabadell.com/#/configmap/pro-ns-sys/ms-sys-underwriting-system-sp-micros-app-configs?namespace=pro-ns-sys</t>
  </si>
  <si>
    <t xml:space="preserve">ms-sys-tjmovilpinrecovery-ih</t>
  </si>
  <si>
    <t xml:space="preserve">ms-sys-tjmovilpinrecovery-ih-micros-app-configs</t>
  </si>
  <si>
    <t xml:space="preserve">artifactory.apps.devops.aws.bancsabadell.com/p4-virtual/p4cp/ms-sys-tjmovilpinrecovery-ih:0.1.3</t>
  </si>
  <si>
    <t xml:space="preserve">ms-sys-tjmovilpinrecovery-ih-p4ms</t>
  </si>
  <si>
    <t xml:space="preserve">http://repos.bancsabadell.com/bitbucket/scm/P4CP/ms-sys-tjmovilpinrecovery-ih.git</t>
  </si>
  <si>
    <t xml:space="preserve">https://kubernetes-dashboard.apps.pro.aws.bancsabadell.com/#/configmap/pro-ns-sys/ms-sys-tjmovilpinrecovery-ih-micros-app-configs?namespace=pro-ns-sys</t>
  </si>
  <si>
    <t xml:space="preserve">ms-sys-special-pricing-conditions</t>
  </si>
  <si>
    <t xml:space="preserve">ms-sys-special-pricing-conditions-micros-app-configs</t>
  </si>
  <si>
    <t xml:space="preserve">artifactory.apps.devops.aws.bancsabadell.com/p4-virtual/just_raroc/ms-sys-special-pricing-conditions:0.8.20</t>
  </si>
  <si>
    <t xml:space="preserve">ms-sys-special-pricing-conditions-p4ms</t>
  </si>
  <si>
    <t xml:space="preserve">hector.urbanos.martinez@nttdata.com</t>
  </si>
  <si>
    <t xml:space="preserve">http://repos.bancsabadell.com/bitbucket/scm/JUST_RAROC/ms-sys-special-pricing-conditions.git</t>
  </si>
  <si>
    <t xml:space="preserve">0.8.20</t>
  </si>
  <si>
    <t xml:space="preserve">0.8.19</t>
  </si>
  <si>
    <t xml:space="preserve">https://kubernetes-dashboard.apps.pro.aws.bancsabadell.com/#/configmap/pro-ns-sys/ms-sys-special-pricing-conditions-micros-app-configs?namespace=pro-ns-sys</t>
  </si>
  <si>
    <t xml:space="preserve">ms-openbanking-sys-connectorafterbanks</t>
  </si>
  <si>
    <t xml:space="preserve">ms-openbanking-sys-connectorafterbanks-micros-app-configs</t>
  </si>
  <si>
    <t xml:space="preserve">artifactory.apps.devops.aws.bancsabadell.com/p4-virtual/aisp/ms-openbanking-sys-connectorafterbanks:0.5.9</t>
  </si>
  <si>
    <t xml:space="preserve">ms-openbanking-sys-connectorafterbanks-p4ms</t>
  </si>
  <si>
    <t xml:space="preserve">http://repos.bancsabadell.com/bitbucket/scm/AISP/ms-openbanking-sys-connectorafterbanks.git</t>
  </si>
  <si>
    <t xml:space="preserve">https://kubernetes-dashboard.apps.pro.aws.bancsabadell.com/#/configmap/pro-ns-sys/ms-openbanking-sys-connectorafterbanks-micros-app-configs?namespace=pro-ns-sys</t>
  </si>
  <si>
    <t xml:space="preserve">ms-sys-trace-batch</t>
  </si>
  <si>
    <t xml:space="preserve">ms-sys-trace-batch-micros-py-configs</t>
  </si>
  <si>
    <t xml:space="preserve">artifactory.apps.devops.aws.bancsabadell.com/p4-virtual/ms-sys-trace-batch:1.0.9</t>
  </si>
  <si>
    <t xml:space="preserve">ms-sys-trace-batch-p4mspy</t>
  </si>
  <si>
    <t xml:space="preserve">http://repos.bancsabadell.com/bitbucket/scm/span/ms-sys-trace-batch.git</t>
  </si>
  <si>
    <t xml:space="preserve">https://kubernetes-dashboard.apps.pro.aws.bancsabadell.com/#/configmap/pro-ns-sys/ms-sys-trace-batch-micros-py-configs?namespace=pro-ns-sys</t>
  </si>
  <si>
    <t xml:space="preserve">ms-sys-interactive-help-zendesk-v1</t>
  </si>
  <si>
    <t xml:space="preserve">ms-sys-interactive-help-zendesk-v1-micros-app-configs</t>
  </si>
  <si>
    <t xml:space="preserve">artifactory.apps.devops.aws.bancsabadell.com/p4-virtual/mobi/ms-sys-interactive-help-zendesk-v1:1.0.19</t>
  </si>
  <si>
    <t xml:space="preserve">ms-sys-interactive-help-zendesk-v1-p4ms</t>
  </si>
  <si>
    <t xml:space="preserve">http://repos.bancsabadell.com/bitbucket/scm/MOBI/ms-sys-interactive-help-zendesk-v1.git</t>
  </si>
  <si>
    <t xml:space="preserve">https://kubernetes-dashboard.apps.pro.aws.bancsabadell.com/#/configmap/pro-ns-sys/ms-sys-interactive-help-zendesk-v1-micros-app-configs?namespace=pro-ns-sys</t>
  </si>
  <si>
    <t xml:space="preserve">ms-sys-customer-credit-rating-sp-scoring</t>
  </si>
  <si>
    <t xml:space="preserve">ms-sys-customer-credit-rating-sp-scoring-micros-app-configs</t>
  </si>
  <si>
    <t xml:space="preserve">artifactory.apps.devops.aws.bancsabadell.com/p4-virtual/p4cp/ms-sys-customer-credit-rating-sp-scoring:1.1.18</t>
  </si>
  <si>
    <t xml:space="preserve">ms-sys-customer-credit-rating-sp-scoring-p4ms</t>
  </si>
  <si>
    <t xml:space="preserve">http://repos.bancsabadell.com/bitbucket/scm/P4CP/ms-sys-customer-credit-rating-sp-scoring.git</t>
  </si>
  <si>
    <t xml:space="preserve">https://kubernetes-dashboard.apps.pro.aws.bancsabadell.com/#/configmap/pro-ns-sys/ms-sys-customer-credit-rating-sp-scoring-micros-app-configs?namespace=pro-ns-sys</t>
  </si>
  <si>
    <t xml:space="preserve">ms-domain-account-dv</t>
  </si>
  <si>
    <t xml:space="preserve">ms-domain-account-dv-micros-app-configs</t>
  </si>
  <si>
    <t xml:space="preserve">artifactory.apps.devops.aws.bancsabadell.com/p4-virtual/mobi/ms-domain-account-dv:0.5.6</t>
  </si>
  <si>
    <t xml:space="preserve">ms-domain-account-dv-p4ms</t>
  </si>
  <si>
    <t xml:space="preserve">http://repos.bancsabadell.com/bitbucket/scm/MOBI/ms-domain-account-dv.git</t>
  </si>
  <si>
    <t xml:space="preserve">0.5.6</t>
  </si>
  <si>
    <t xml:space="preserve">0.2.19</t>
  </si>
  <si>
    <t xml:space="preserve">https://kubernetes-dashboard.apps.pro.aws.bancsabadell.com/#/configmap/pro-ns-sys/ms-domain-account-dv-micros-app-configs?namespace=pro-ns-sys</t>
  </si>
  <si>
    <t xml:space="preserve">ms-sys-information-provider-operation-bc-v1</t>
  </si>
  <si>
    <t xml:space="preserve">ms-sys-information-provider-operation-bc-v1-micros-app-configs</t>
  </si>
  <si>
    <t xml:space="preserve">artifactory.apps.devops.aws.bancsabadell.com/p4-virtual/p4cp/ms-sys-information-provider-operation-bc-v1:3.0.0</t>
  </si>
  <si>
    <t xml:space="preserve">ms-sys-information-provider-operation-bc-v1-p4ms</t>
  </si>
  <si>
    <t xml:space="preserve">http://repos.bancsabadell.com/bitbucket/scm/P4CP/ms-sys-information-provider-operation-bc-v1.git</t>
  </si>
  <si>
    <t xml:space="preserve">https://kubernetes-dashboard.apps.pro.aws.bancsabadell.com/#/configmap/pro-ns-sys/ms-sys-information-provider-operation-bc-v1-micros-app-configs?namespace=pro-ns-sys</t>
  </si>
  <si>
    <t xml:space="preserve">ms-sys-correspondence-ia</t>
  </si>
  <si>
    <t xml:space="preserve">ms-sys-correspondence-ia-micros-app-configs</t>
  </si>
  <si>
    <t xml:space="preserve">artifactory.apps.devops.aws.bancsabadell.com/p4-virtual/p4cp/ms-sys-correspondence-ia:1.1.2</t>
  </si>
  <si>
    <t xml:space="preserve">ms-sys-correspondence-ia-p4ms</t>
  </si>
  <si>
    <t xml:space="preserve">0901projectservicegft@bancsabadell.com</t>
  </si>
  <si>
    <t xml:space="preserve">http://repos.bancsabadell.com/bitbucket/scm/p4cp/ms-sys-correspondence-ia.git</t>
  </si>
  <si>
    <t xml:space="preserve">https://kubernetes-dashboard.apps.pro.aws.bancsabadell.com/#/configmap/pro-ns-sys/ms-sys-correspondence-ia-micros-app-configs?namespace=pro-ns-sys</t>
  </si>
  <si>
    <t xml:space="preserve">ms-sys-consumer-credit-facility-dds-v1</t>
  </si>
  <si>
    <t xml:space="preserve">ms-sys-consumer-credit-facility-dds-v1-micros-app-configs</t>
  </si>
  <si>
    <t xml:space="preserve">artifactory.apps.devops.aws.bancsabadell.com/p4-virtual/mobi/ms-sys-consumer-credit-facility-dds-v1:2.0.0</t>
  </si>
  <si>
    <t xml:space="preserve">ms-sys-consumer-credit-facility-dds-v1-p4ms</t>
  </si>
  <si>
    <t xml:space="preserve">http://repos.bancsabadell.com/bitbucket/scm/MOBI/ms-sys-consumer-credit-facility-dds-v1.git</t>
  </si>
  <si>
    <t xml:space="preserve">https://kubernetes-dashboard.apps.pro.aws.bancsabadell.com/#/configmap/pro-ns-sys/ms-sys-consumer-credit-facility-dds-v1-micros-app-configs?namespace=pro-ns-sys</t>
  </si>
  <si>
    <t xml:space="preserve">ms-sys-onboarding</t>
  </si>
  <si>
    <t xml:space="preserve">ms-sys-onboarding-micros-app-configs</t>
  </si>
  <si>
    <t xml:space="preserve">artifactory.apps.devops.aws.bancsabadell.com/p4-virtual/p4cp/ms-sys-onboarding:0.7.1</t>
  </si>
  <si>
    <t xml:space="preserve">ms-sys-onboarding-p4ms</t>
  </si>
  <si>
    <t xml:space="preserve">http://repos.bancsabadell.com/bitbucket/scm/P4CP/ms-sys-onboarding.git</t>
  </si>
  <si>
    <t xml:space="preserve">https://kubernetes-dashboard.apps.pro.aws.bancsabadell.com/#/configmap/pro-ns-sys/ms-sys-onboarding-micros-app-configs?namespace=pro-ns-sys</t>
  </si>
  <si>
    <t xml:space="preserve">ms-sys-location-data-pe</t>
  </si>
  <si>
    <t xml:space="preserve">ms-sys-location-data-pe-micros-app-configs</t>
  </si>
  <si>
    <t xml:space="preserve">artifactory.apps.devops.aws.bancsabadell.com/p4-virtual/p4cp/ms-sys-location-data-pe:0.1.3</t>
  </si>
  <si>
    <t xml:space="preserve">ms-sys-location-data-pe-p4ms</t>
  </si>
  <si>
    <t xml:space="preserve">http://repos.bancsabadell.com/bitbucket/scm/p4cp/ms-sys-location-data-pe.git</t>
  </si>
  <si>
    <t xml:space="preserve">https://kubernetes-dashboard.apps.pro.aws.bancsabadell.com/#/configmap/pro-ns-sys/ms-sys-location-data-pe-micros-app-configs?namespace=pro-ns-sys</t>
  </si>
  <si>
    <t xml:space="preserve">ms-sys-ccf-v2</t>
  </si>
  <si>
    <t xml:space="preserve">ms-sys-ccf-v2-micros-app-configs</t>
  </si>
  <si>
    <t xml:space="preserve">artifactory.apps.devops.aws.bancsabadell.com/p4-virtual/p4cp/ms-sys-ccf-v2:1.1.0</t>
  </si>
  <si>
    <t xml:space="preserve">ms-sys-ccf-v2-p4ms</t>
  </si>
  <si>
    <t xml:space="preserve">umesh.kumar.singhal@accenture.com</t>
  </si>
  <si>
    <t xml:space="preserve">http://repos.bancsabadell.com/bitbucket/scm/p4cp/ms-sys-ccf-v2.git</t>
  </si>
  <si>
    <t xml:space="preserve">https://kubernetes-dashboard.apps.pro.aws.bancsabadell.com/#/configmap/pro-ns-sys/ms-sys-ccf-v2-micros-app-configs?namespace=pro-ns-sys</t>
  </si>
  <si>
    <t xml:space="preserve">ms-sys-operations-log</t>
  </si>
  <si>
    <t xml:space="preserve">ms-sys-operations-log-micros-app-configs</t>
  </si>
  <si>
    <t xml:space="preserve">artifactory.apps.devops.aws.bancsabadell.com/p4-virtual/p4des/ms-sys-operations-log:1.9.6</t>
  </si>
  <si>
    <t xml:space="preserve">ms-sys-operations-log-p4ms</t>
  </si>
  <si>
    <t xml:space="preserve">jesus.platas@mimacom.com</t>
  </si>
  <si>
    <t xml:space="preserve">https://bitbucket.apps.devops.aws.bancsabadell.com/scm/p4des/ms-sys-operations-log.git</t>
  </si>
  <si>
    <t xml:space="preserve">1.9.6</t>
  </si>
  <si>
    <t xml:space="preserve">1.9.8</t>
  </si>
  <si>
    <t xml:space="preserve">https://kubernetes-dashboard.apps.pro.aws.bancsabadell.com/#/configmap/pro-ns-sys/ms-sys-operations-log-micros-app-configs?namespace=pro-ns-sys</t>
  </si>
  <si>
    <t xml:space="preserve">ms-sys-card-position-keeping-v2</t>
  </si>
  <si>
    <t xml:space="preserve">ms-sys-card-position-keeping-v2-micros-app-configs</t>
  </si>
  <si>
    <t xml:space="preserve">artifactory.apps.devops.aws.bancsabadell.com/p4-virtual/p4cp/ms-sys-card-position-keeping-v2:2.1.43</t>
  </si>
  <si>
    <t xml:space="preserve">ms-sys-card-position-keeping-v2-p4ms</t>
  </si>
  <si>
    <t xml:space="preserve">http://repos.bancsabadell.com/bitbucket/scm/P4CP/ms-sys-card-position-keeping-v2.git</t>
  </si>
  <si>
    <t xml:space="preserve">2.1.43</t>
  </si>
  <si>
    <t xml:space="preserve">2.2.19</t>
  </si>
  <si>
    <t xml:space="preserve">https://kubernetes-dashboard.apps.pro.aws.bancsabadell.com/#/configmap/pro-ns-sys/ms-sys-card-position-keeping-v2-micros-app-configs?namespace=pro-ns-sys</t>
  </si>
  <si>
    <t xml:space="preserve">ms-sys-regulatory-compliance-xs-v1</t>
  </si>
  <si>
    <t xml:space="preserve">ms-sys-regulatory-compliance-xs-v1-micros-app-configs</t>
  </si>
  <si>
    <t xml:space="preserve">artifactory.apps.devops.aws.bancsabadell.com/p4-virtual/p4cp/ms-sys-regulatory-compliance-xs-v1:1.2.0</t>
  </si>
  <si>
    <t xml:space="preserve">ms-sys-regulatory-compliance-xs-v1-p4ms</t>
  </si>
  <si>
    <t xml:space="preserve">ajcalero@minsait.com</t>
  </si>
  <si>
    <t xml:space="preserve">http://repos.bancsabadell.com/bitbucket/scm/p4cp/ms-sys-regulatory-compliance-xs-v1.git</t>
  </si>
  <si>
    <t xml:space="preserve">https://kubernetes-dashboard.apps.pro.aws.bancsabadell.com/#/configmap/pro-ns-sys/ms-sys-regulatory-compliance-xs-v1-micros-app-configs?namespace=pro-ns-sys</t>
  </si>
  <si>
    <t xml:space="preserve">ms-sys-consumer-loan-scf</t>
  </si>
  <si>
    <t xml:space="preserve">ms-sys-consumer-loan-scf-micros-app-configs</t>
  </si>
  <si>
    <t xml:space="preserve">artifactory.apps.devops.aws.bancsabadell.com/p4-virtual/p4cp/ms-sys-consumer-loan-scf:1.0.10</t>
  </si>
  <si>
    <t xml:space="preserve">ms-sys-consumer-loan-scf-p4ms</t>
  </si>
  <si>
    <t xml:space="preserve">http://repos.bancsabadell.com/bitbucket/scm/p4cp/ms-sys-consumer-loan-scf.git</t>
  </si>
  <si>
    <t xml:space="preserve">https://kubernetes-dashboard.apps.pro.aws.bancsabadell.com/#/configmap/pro-ns-sys/ms-sys-consumer-loan-scf-micros-app-configs?namespace=pro-ns-sys</t>
  </si>
  <si>
    <t xml:space="preserve">ms-sys-direct-debit-dds-v1</t>
  </si>
  <si>
    <t xml:space="preserve">ms-sys-direct-debit-dds-v1-micros-app-configs</t>
  </si>
  <si>
    <t xml:space="preserve">artifactory.apps.devops.aws.bancsabadell.com/p4-virtual/mobi/ms-sys-direct-debit-dds-v1:2.0.0</t>
  </si>
  <si>
    <t xml:space="preserve">ms-sys-direct-debit-dds-v1-p4ms</t>
  </si>
  <si>
    <t xml:space="preserve">http://repos.bancsabadell.com/bitbucket/scm/MOBI/ms-sys-direct-debit-dds-v1.git</t>
  </si>
  <si>
    <t xml:space="preserve">https://kubernetes-dashboard.apps.pro.aws.bancsabadell.com/#/configmap/pro-ns-sys/ms-sys-direct-debit-dds-v1-micros-app-configs?namespace=pro-ns-sys</t>
  </si>
  <si>
    <t xml:space="preserve">ms-sys-aeat2bs</t>
  </si>
  <si>
    <t xml:space="preserve">ms-sys-aeat2bs-micros-app-configs</t>
  </si>
  <si>
    <t xml:space="preserve">artifactory.apps.devops.aws.bancsabadell.com/p4-virtual/esic/ms-sys-aeat2bs:2.2.3</t>
  </si>
  <si>
    <t xml:space="preserve">ms-sys-aeat2bs-p4ms</t>
  </si>
  <si>
    <t xml:space="preserve">laura.zambrano@accenture.com</t>
  </si>
  <si>
    <t xml:space="preserve">http://repos.bancsabadell.com/bitbucket/scm/ESIC/ms-sys-aeat2bs.git</t>
  </si>
  <si>
    <t xml:space="preserve">2.2.3</t>
  </si>
  <si>
    <t xml:space="preserve">https://kubernetes-dashboard.apps.pro.aws.bancsabadell.com/#/configmap/pro-ns-sys/ms-sys-aeat2bs-micros-app-configs?namespace=pro-ns-sys</t>
  </si>
  <si>
    <t xml:space="preserve">ms-sys-desktop-notifications</t>
  </si>
  <si>
    <t xml:space="preserve">ms-sys-desktop-notifications-micros-app-configs</t>
  </si>
  <si>
    <t xml:space="preserve">artifactory.apps.devops.aws.bancsabadell.com/p4-virtual/p4notifications/ms-sys-desktop-notifications:1.0.4</t>
  </si>
  <si>
    <t xml:space="preserve">ms-sys-desktop-notifications-p4ms</t>
  </si>
  <si>
    <t xml:space="preserve">pablo.caterineu</t>
  </si>
  <si>
    <t xml:space="preserve">http://repos.bancsabadell.com/bitbucket/scm/p4notifications/ms-sys-desktop-notifications.git</t>
  </si>
  <si>
    <t xml:space="preserve">https://kubernetes-dashboard.apps.pro.aws.bancsabadell.com/#/configmap/pro-ns-sys/ms-sys-desktop-notifications-micros-app-configs?namespace=pro-ns-sys</t>
  </si>
  <si>
    <t xml:space="preserve">ms-sys-customer-offer-seneca</t>
  </si>
  <si>
    <t xml:space="preserve">ms-sys-customer-offer-seneca-micros-app-configs</t>
  </si>
  <si>
    <t xml:space="preserve">artifactory.apps.devops.aws.bancsabadell.com/p4-virtual/esfin/ms-sys-customer-offer-seneca:1.1.11</t>
  </si>
  <si>
    <t xml:space="preserve">ms-sys-customer-offer-seneca-p4ms</t>
  </si>
  <si>
    <t xml:space="preserve">alex.pinero.jimenez@nttdata.com</t>
  </si>
  <si>
    <t xml:space="preserve">http://repos.bancsabadell.com/bitbucket/scm/esfin/ms-sys-customer-offer-seneca.git</t>
  </si>
  <si>
    <t xml:space="preserve">1.1.11</t>
  </si>
  <si>
    <t xml:space="preserve">https://kubernetes-dashboard.apps.pro.aws.bancsabadell.com/#/configmap/pro-ns-sys/ms-sys-customer-offer-seneca-micros-app-configs?namespace=pro-ns-sys</t>
  </si>
  <si>
    <t xml:space="preserve">ms-sys-product-matching-v1</t>
  </si>
  <si>
    <t xml:space="preserve">ms-sys-product-matching-v1-micros-app-configs</t>
  </si>
  <si>
    <t xml:space="preserve">artifactory.apps.devops.aws.bancsabadell.com/p4-virtual/mobi/ms-sys-product-matching-v1:2.0.0</t>
  </si>
  <si>
    <t xml:space="preserve">ms-sys-product-matching-v1-p4ms</t>
  </si>
  <si>
    <t xml:space="preserve">http://repos.bancsabadell.com/bitbucket/scm/MOBI/ms-sys-product-matching-v1.git</t>
  </si>
  <si>
    <t xml:space="preserve">https://kubernetes-dashboard.apps.pro.aws.bancsabadell.com/#/configmap/pro-ns-sys/ms-sys-product-matching-v1-micros-app-configs?namespace=pro-ns-sys</t>
  </si>
  <si>
    <t xml:space="preserve">ms-sys-notifications-hub-historical-cdc</t>
  </si>
  <si>
    <t xml:space="preserve">ms-sys-notifications-hub-historical-cdc-micros-app-configs</t>
  </si>
  <si>
    <t xml:space="preserve">artifactory.apps.devops.aws.bancsabadell.com/p4-virtual/p4des/ms-sys-notifications-hub-historical-cdc:1.0.5</t>
  </si>
  <si>
    <t xml:space="preserve">ms-sys-notifications-hub-historical-cdc-p4ms</t>
  </si>
  <si>
    <t xml:space="preserve">https://bitbucket.apps.devops.aws.bancsabadell.com/scm/P4DES/ms-sys-notifications-hub-historical-cdc.git</t>
  </si>
  <si>
    <t xml:space="preserve">https://kubernetes-dashboard.apps.pro.aws.bancsabadell.com/#/configmap/pro-ns-sys/ms-sys-notifications-hub-historical-cdc-micros-app-configs?namespace=pro-ns-sys</t>
  </si>
  <si>
    <t xml:space="preserve">ms-sys-public-reference-data-management-dv</t>
  </si>
  <si>
    <t xml:space="preserve">ms-sys-public-reference-data-management-dv-micros-app-configs</t>
  </si>
  <si>
    <t xml:space="preserve">artifactory.apps.devops.aws.bancsabadell.com/p4-virtual/p4cp/ms-sys-public-reference-data-management-dv:0.1.4</t>
  </si>
  <si>
    <t xml:space="preserve">ms-sys-public-reference-data-management-dv-p4ms</t>
  </si>
  <si>
    <t xml:space="preserve">l.e.kumari@accenture.com</t>
  </si>
  <si>
    <t xml:space="preserve">http://repos.bancsabadell.com/bitbucket/scm/P4CP/ms-sys-public-reference-data-management-dv.git</t>
  </si>
  <si>
    <t xml:space="preserve">https://kubernetes-dashboard.apps.pro.aws.bancsabadell.com/#/configmap/pro-ns-sys/ms-sys-public-reference-data-management-dv-micros-app-configs?namespace=pro-ns-sys</t>
  </si>
  <si>
    <t xml:space="preserve">ms-sys-fraud-diagnosis-system-ih-v1</t>
  </si>
  <si>
    <t xml:space="preserve">ms-sys-fraud-diagnosis-system-ih-v1-micros-app-configs</t>
  </si>
  <si>
    <t xml:space="preserve">artifactory.apps.devops.aws.bancsabadell.com/p4-virtual/p4cp/ms-sys-fraud-diagnosis-system-ih-v1:1.0.10</t>
  </si>
  <si>
    <t xml:space="preserve">ms-sys-fraud-diagnosis-system-ih-v1-p4ms</t>
  </si>
  <si>
    <t xml:space="preserve">http://repos.bancsabadell.com/bitbucket/scm/P4CP/ms-sys-fraud-diagnosis-system-ih-v1.git</t>
  </si>
  <si>
    <t xml:space="preserve">https://kubernetes-dashboard.apps.pro.aws.bancsabadell.com/#/configmap/pro-ns-sys/ms-sys-fraud-diagnosis-system-ih-v1-micros-app-configs?namespace=pro-ns-sys</t>
  </si>
  <si>
    <t xml:space="preserve">ms-sys-regulatory-compliance-iberpay-v1</t>
  </si>
  <si>
    <t xml:space="preserve">ms-sys-regulatory-compliance-iberpay-v1-micros-app-configs</t>
  </si>
  <si>
    <t xml:space="preserve">artifactory.apps.devops.aws.bancsabadell.com/p4-virtual/p4cp/ms-sys-regulatory-compliance-iberpay-v1:1.2.0</t>
  </si>
  <si>
    <t xml:space="preserve">ms-sys-regulatory-compliance-iberpay-v1-p4ms</t>
  </si>
  <si>
    <t xml:space="preserve">http://repos.bancsabadell.com/bitbucket/scm/p4cp/ms-sys-regulatory-compliance-iberpay-v1.git</t>
  </si>
  <si>
    <t xml:space="preserve">https://kubernetes-dashboard.apps.pro.aws.bancsabadell.com/#/configmap/pro-ns-sys/ms-sys-regulatory-compliance-iberpay-v1-micros-app-configs?namespace=pro-ns-sys</t>
  </si>
  <si>
    <t xml:space="preserve">ms-sys-procesamiento-om196</t>
  </si>
  <si>
    <t xml:space="preserve">ms-sys-procesamiento-om196-micros-app-configs</t>
  </si>
  <si>
    <t xml:space="preserve">artifactory.apps.devops.aws.bancsabadell.com/p4-virtual/p4cp/ms-sys-procesamiento-om196:1.1.0</t>
  </si>
  <si>
    <t xml:space="preserve">ms-sys-procesamiento-om196-p4ms</t>
  </si>
  <si>
    <t xml:space="preserve">http://repos.bancsabadell.com/bitbucket/scm/P4CP/ms-sys-procesamiento-om196.git</t>
  </si>
  <si>
    <t xml:space="preserve">https://kubernetes-dashboard.apps.pro.aws.bancsabadell.com/#/configmap/pro-ns-sys/ms-sys-procesamiento-om196-micros-app-configs?namespace=pro-ns-sys</t>
  </si>
  <si>
    <t xml:space="preserve">ms-sys-merchant-acquiring-facility-system-v1</t>
  </si>
  <si>
    <t xml:space="preserve">ms-sys-merchant-acquiring-facility-system-v1-micros-app-configs</t>
  </si>
  <si>
    <t xml:space="preserve">artifactory.apps.devops.aws.bancsabadell.com/p4-virtual/p4cp/ms-sys-merchant-acquiring-facility-system-v1:1.1.11</t>
  </si>
  <si>
    <t xml:space="preserve">ms-sys-merchant-acquiring-facility-system-v1-p4ms</t>
  </si>
  <si>
    <t xml:space="preserve">http://repos.bancsabadell.com/bitbucket/scm/P4CP/ms-sys-merchant-acquiring-facility-system-v1.git</t>
  </si>
  <si>
    <t xml:space="preserve">https://kubernetes-dashboard.apps.pro.aws.bancsabadell.com/#/configmap/pro-ns-sys/ms-sys-merchant-acquiring-facility-system-v1-micros-app-configs?namespace=pro-ns-sys</t>
  </si>
  <si>
    <t xml:space="preserve">ms-sys-branch-location-management-bs</t>
  </si>
  <si>
    <t xml:space="preserve">ms-sys-branch-location-management-bs-micros-app-configs</t>
  </si>
  <si>
    <t xml:space="preserve">artifactory.apps.devops.aws.bancsabadell.com/p4-virtual/p4cp/ms-sys-branch-location-management-bs:1.2.0</t>
  </si>
  <si>
    <t xml:space="preserve">ms-sys-branch-location-management-bs-p4ms</t>
  </si>
  <si>
    <t xml:space="preserve">http://repos.bancsabadell.com/bitbucket/scm/P4CP/ms-sys-branch-location-management-bs.git</t>
  </si>
  <si>
    <t xml:space="preserve">3.9.0</t>
  </si>
  <si>
    <t xml:space="preserve">https://kubernetes-dashboard.apps.pro.aws.bancsabadell.com/#/configmap/pro-ns-sys/ms-sys-branch-location-management-bs-micros-app-configs?namespace=pro-ns-sys</t>
  </si>
  <si>
    <t xml:space="preserve">ms-sys-tasaciones-anonymizer-producer</t>
  </si>
  <si>
    <t xml:space="preserve">ms-sys-tasaciones-anonymizer-producer-micros-app-configs</t>
  </si>
  <si>
    <t xml:space="preserve">artifactory.apps.devops.aws.bancsabadell.com/p4-virtual/p4cp/ms-sys-tasaciones-anonymizer-producer:1.3.2</t>
  </si>
  <si>
    <t xml:space="preserve">ms-sys-tasaciones-anonymizer-producer-p4ms</t>
  </si>
  <si>
    <t xml:space="preserve">http://repos.bancsabadell.com/bitbucket/scm/P4CP/ms-sys-tasaciones-anonymizer-producer.git</t>
  </si>
  <si>
    <t xml:space="preserve">https://kubernetes-dashboard.apps.pro.aws.bancsabadell.com/#/configmap/pro-ns-sys/ms-sys-tasaciones-anonymizer-producer-micros-app-configs?namespace=pro-ns-sys</t>
  </si>
  <si>
    <t xml:space="preserve">ms-dds-sys-accounts</t>
  </si>
  <si>
    <t xml:space="preserve">ms-dds-sys-accounts-micros-app-configs</t>
  </si>
  <si>
    <t xml:space="preserve">artifactory.apps.devops.aws.bancsabadell.com/p4-virtual/dds/ms-dds-sys-accounts:0.1.9</t>
  </si>
  <si>
    <t xml:space="preserve">ms-dds-sys-accounts-p4ms</t>
  </si>
  <si>
    <t xml:space="preserve">roger.vilamajo@accenture.com</t>
  </si>
  <si>
    <t xml:space="preserve">http://repos.bancsabadell.com/bitbucket/scm/dds/ms-dds-sys-accounts.git</t>
  </si>
  <si>
    <t xml:space="preserve">https://kubernetes-dashboard.apps.pro.aws.bancsabadell.com/#/configmap/pro-ns-sys/ms-dds-sys-accounts-micros-app-configs?namespace=pro-ns-sys</t>
  </si>
  <si>
    <t xml:space="preserve">ms-sys-transaction-authorization</t>
  </si>
  <si>
    <t xml:space="preserve">ms-sys-transaction-authorization-micros-app-configs</t>
  </si>
  <si>
    <t xml:space="preserve">artifactory.apps.devops.aws.bancsabadell.com/p4-virtual/p4des/ms-sys-transaction-authorization:0.8.3</t>
  </si>
  <si>
    <t xml:space="preserve">ms-sys-transaction-authorization-p4ms</t>
  </si>
  <si>
    <t xml:space="preserve">https://bitbucket.apps.devops.aws.bancsabadell.com/scm/P4DES/ms-sys-transaction-authorization.git</t>
  </si>
  <si>
    <t xml:space="preserve">0.8.3</t>
  </si>
  <si>
    <t xml:space="preserve">https://kubernetes-dashboard.apps.pro.aws.bancsabadell.com/#/configmap/pro-ns-sys/ms-sys-transaction-authorization-micros-app-configs?namespace=pro-ns-sys</t>
  </si>
  <si>
    <t xml:space="preserve">ms-sys-customer-products-and-services-system-v1</t>
  </si>
  <si>
    <t xml:space="preserve">ms-sys-customer-products-and-services-system-v1-micros-app-configs</t>
  </si>
  <si>
    <t xml:space="preserve">artifactory.apps.devops.aws.bancsabadell.com/p4-virtual/mobi/ms-sys-customer-products-and-services-system-v1:2.0.0</t>
  </si>
  <si>
    <t xml:space="preserve">ms-sys-customer-products-and-services-system-v1-p4ms</t>
  </si>
  <si>
    <t xml:space="preserve">http://repos.bancsabadell.com/bitbucket/scm/MOBI/ms-sys-customer-products-and-services-system-v1.git</t>
  </si>
  <si>
    <t xml:space="preserve">https://kubernetes-dashboard.apps.pro.aws.bancsabadell.com/#/configmap/pro-ns-sys/ms-sys-customer-products-and-services-system-v1-micros-app-configs?namespace=pro-ns-sys</t>
  </si>
  <si>
    <t xml:space="preserve">ms-sys-customer-offer-pz</t>
  </si>
  <si>
    <t xml:space="preserve">ms-sys-customer-offer-pz-micros-app-configs</t>
  </si>
  <si>
    <t xml:space="preserve">artifactory.apps.devops.aws.bancsabadell.com/p4-virtual/poojj/ms-sys-customer-offer-pz:1.0.1</t>
  </si>
  <si>
    <t xml:space="preserve">ms-sys-customer-offer-pz-p4ms</t>
  </si>
  <si>
    <t xml:space="preserve">p4ms-0.14.2</t>
  </si>
  <si>
    <t xml:space="preserve">http://repos.bancsabadell.com/bitbucket/scm/POOJJ/ms-sys-customer-offer-pz.git</t>
  </si>
  <si>
    <t xml:space="preserve">https://kubernetes-dashboard.apps.pro.aws.bancsabadell.com/#/configmap/pro-ns-sys/ms-sys-customer-offer-pz-micros-app-configs?namespace=pro-ns-sys</t>
  </si>
  <si>
    <t xml:space="preserve">ms-sys-securities-position-keeping-vs</t>
  </si>
  <si>
    <t xml:space="preserve">ms-sys-securities-position-keeping-vs-micros-app-configs</t>
  </si>
  <si>
    <t xml:space="preserve">artifactory.apps.devops.aws.bancsabadell.com/p4-virtual/vs/ms-sys-securities-position-keeping-vs:1.2.0</t>
  </si>
  <si>
    <t xml:space="preserve">ms-sys-securities-position-keeping-vs-p4ms</t>
  </si>
  <si>
    <t xml:space="preserve">http://repos.bancsabadell.com/bitbucket/scm/VS/ms-sys-securities-position-keeping-vs.git</t>
  </si>
  <si>
    <t xml:space="preserve">https://kubernetes-dashboard.apps.pro.aws.bancsabadell.com/#/configmap/pro-ns-sys/ms-sys-securities-position-keeping-vs-micros-app-configs?namespace=pro-ns-sys</t>
  </si>
  <si>
    <t xml:space="preserve">ms-sys-card-case-redsys-v1</t>
  </si>
  <si>
    <t xml:space="preserve">ms-sys-card-case-redsys-v1-micros-app-configs</t>
  </si>
  <si>
    <t xml:space="preserve">artifactory.apps.devops.aws.bancsabadell.com/p4-virtual/p4cp/ms-sys-card-case-redsys-v1:1.0.4</t>
  </si>
  <si>
    <t xml:space="preserve">ms-sys-card-case-redsys-v1-p4ms</t>
  </si>
  <si>
    <t xml:space="preserve">david.cuesta.sanchez@everis.com</t>
  </si>
  <si>
    <t xml:space="preserve">http://repos.bancsabadell.com/bitbucket/scm/p4cp/ms-sys-card-case-redsys-v1.git</t>
  </si>
  <si>
    <t xml:space="preserve">https://kubernetes-dashboard.apps.pro.aws.bancsabadell.com/#/configmap/pro-ns-sys/ms-sys-card-case-redsys-v1-micros-app-configs?namespace=pro-ns-sys</t>
  </si>
  <si>
    <t xml:space="preserve">ms-sys-notifications-hub-email-sender</t>
  </si>
  <si>
    <t xml:space="preserve">ms-sys-notifications-hub-email-sender-micros-app-configs</t>
  </si>
  <si>
    <t xml:space="preserve">artifactory.apps.devops.aws.bancsabadell.com/p4-virtual/p4des/ms-sys-notifications-hub-email-sender:1.0.2</t>
  </si>
  <si>
    <t xml:space="preserve">ms-sys-notifications-hub-email-sender-p4ms</t>
  </si>
  <si>
    <t xml:space="preserve">https://bitbucket.apps.devops.aws.bancsabadell.com/scm/p4des/ms-sys-notifications-hub-email-sender.git</t>
  </si>
  <si>
    <t xml:space="preserve">https://kubernetes-dashboard.apps.pro.aws.bancsabadell.com/#/configmap/pro-ns-sys/ms-sys-notifications-hub-email-sender-micros-app-configs?namespace=pro-ns-sys</t>
  </si>
  <si>
    <t xml:space="preserve">ms-sys-payment-rail-operations-ip-unavailability</t>
  </si>
  <si>
    <t xml:space="preserve">ms-sys-payment-rail-operations-ip-unavailability-micros-app-configs</t>
  </si>
  <si>
    <t xml:space="preserve">artifactory.apps.devops.aws.bancsabadell.com/p4-virtual/p4cp/ms-sys-payment-rail-operations-ip-unavailability:0.1.2</t>
  </si>
  <si>
    <t xml:space="preserve">ms-sys-payment-rail-operations-ip-unavailability-p4ms</t>
  </si>
  <si>
    <t xml:space="preserve">http://repos.bancsabadell.com/bitbucket/scm/p4cp/ms-sys-payment-rail-operations-ip-unavailability.git</t>
  </si>
  <si>
    <t xml:space="preserve">https://kubernetes-dashboard.apps.pro.aws.bancsabadell.com/#/configmap/pro-ns-sys/ms-sys-payment-rail-operations-ip-unavailability-micros-app-configs?namespace=pro-ns-sys</t>
  </si>
  <si>
    <t xml:space="preserve">ms-openbanking-sys-cleansing</t>
  </si>
  <si>
    <t xml:space="preserve">ms-openbanking-sys-cleansing-micros-app-configs</t>
  </si>
  <si>
    <t xml:space="preserve">artifactory.apps.devops.aws.bancsabadell.com/p4-virtual/aisp/ms-openbanking-sys-cleansing:0.5.7</t>
  </si>
  <si>
    <t xml:space="preserve">ms-openbanking-sys-cleansing-p4ms</t>
  </si>
  <si>
    <t xml:space="preserve">http://repos.bancsabadell.com/bitbucket/scm/AISP/ms-openbanking-sys-cleansing.git</t>
  </si>
  <si>
    <t xml:space="preserve">https://kubernetes-dashboard.apps.pro.aws.bancsabadell.com/#/configmap/pro-ns-sys/ms-openbanking-sys-cleansing-micros-app-configs?namespace=pro-ns-sys</t>
  </si>
  <si>
    <t xml:space="preserve">ms-sys-bs-accounts-aggregation</t>
  </si>
  <si>
    <t xml:space="preserve">ms-sys-bs-accounts-aggregation-micros-app-configs</t>
  </si>
  <si>
    <t xml:space="preserve">artifactory.apps.devops.aws.bancsabadell.com/p4-virtual/esaltacli/ms-sys-bs-accounts-aggregation:1.2.5</t>
  </si>
  <si>
    <t xml:space="preserve">ms-sys-bs-accounts-aggregation-p4ms</t>
  </si>
  <si>
    <t xml:space="preserve">jesus.martinez.lopez@emeal.nttdata.com</t>
  </si>
  <si>
    <t xml:space="preserve">http://repos.bancsabadell.com/bitbucket/scm/ESALTACLI/ms-sys-bs-accounts-aggregation.git</t>
  </si>
  <si>
    <t xml:space="preserve">https://kubernetes-dashboard.apps.pro.aws.bancsabadell.com/#/configmap/pro-ns-sys/ms-sys-bs-accounts-aggregation-micros-app-configs?namespace=pro-ns-sys</t>
  </si>
  <si>
    <t xml:space="preserve">ms-sys-customer-position-system-ri-v1</t>
  </si>
  <si>
    <t xml:space="preserve">ms-sys-customer-position-system-ri-v1-micros-app-configs</t>
  </si>
  <si>
    <t xml:space="preserve">artifactory.apps.devops.aws.bancsabadell.com/p4-virtual/p4cp/ms-sys-customer-position-system-ri-v1:1.1.2</t>
  </si>
  <si>
    <t xml:space="preserve">ms-sys-customer-position-system-ri-v1-p4ms</t>
  </si>
  <si>
    <t xml:space="preserve">http://repos.bancsabadell.com/bitbucket/scm/P4CP/ms-sys-customer-position-system-ri-v1.git</t>
  </si>
  <si>
    <t xml:space="preserve">https://kubernetes-dashboard.apps.pro.aws.bancsabadell.com/#/configmap/pro-ns-sys/ms-sys-customer-position-system-ri-v1-micros-app-configs?namespace=pro-ns-sys</t>
  </si>
  <si>
    <t xml:space="preserve">ms-sys-customer-offer-xf-v1</t>
  </si>
  <si>
    <t xml:space="preserve">ms-sys-customer-offer-xf-v1-micros-app-configs</t>
  </si>
  <si>
    <t xml:space="preserve">artifactory.apps.devops.aws.bancsabadell.com/p4-virtual/p4cp/ms-sys-customer-offer-xf-v1:1.0.4</t>
  </si>
  <si>
    <t xml:space="preserve">ms-sys-customer-offer-xf-v1-p4ms</t>
  </si>
  <si>
    <t xml:space="preserve">http://repos.bancsabadell.com/bitbucket/scm/P4CP/ms-sys-customer-offer-xf-v1.git</t>
  </si>
  <si>
    <t xml:space="preserve">https://kubernetes-dashboard.apps.pro.aws.bancsabadell.com/#/configmap/pro-ns-sys/ms-sys-customer-offer-xf-v1-micros-app-configs?namespace=pro-ns-sys</t>
  </si>
  <si>
    <t xml:space="preserve">ms-sys-underwriting-zurich-v1</t>
  </si>
  <si>
    <t xml:space="preserve">ms-sys-underwriting-zurich-v1-micros-app-configs</t>
  </si>
  <si>
    <t xml:space="preserve">artifactory.apps.devops.aws.bancsabadell.com/p4-virtual/p4cp/ms-sys-underwriting-zurich-v1:1.9.5</t>
  </si>
  <si>
    <t xml:space="preserve">ms-sys-underwriting-zurich-v1-p4ms</t>
  </si>
  <si>
    <t xml:space="preserve">http://repos.bancsabadell.com/bitbucket/scm/P4CP/ms-sys-underwriting-zurich-v1.git</t>
  </si>
  <si>
    <t xml:space="preserve">1.9.5</t>
  </si>
  <si>
    <t xml:space="preserve">https://kubernetes-dashboard.apps.pro.aws.bancsabadell.com/#/configmap/pro-ns-sys/ms-sys-underwriting-zurich-v1-micros-app-configs?namespace=pro-ns-sys</t>
  </si>
  <si>
    <t xml:space="preserve">ms-sys-customer-offer-vs</t>
  </si>
  <si>
    <t xml:space="preserve">ms-sys-customer-offer-vs-micros-app-configs</t>
  </si>
  <si>
    <t xml:space="preserve">artifactory.apps.devops.aws.bancsabadell.com/p4-virtual/vs/ms-sys-customer-offer-vs:1.3.1</t>
  </si>
  <si>
    <t xml:space="preserve">ms-sys-customer-offer-vs-p4ms</t>
  </si>
  <si>
    <t xml:space="preserve">http://repos.bancsabadell.com/bitbucket/scm/vs/ms-sys-customer-offer-vs.git</t>
  </si>
  <si>
    <t xml:space="preserve">https://kubernetes-dashboard.apps.pro.aws.bancsabadell.com/#/configmap/pro-ns-sys/ms-sys-customer-offer-vs-micros-app-configs?namespace=pro-ns-sys</t>
  </si>
  <si>
    <t xml:space="preserve">ms-sys-svexpressconsentquery-pe</t>
  </si>
  <si>
    <t xml:space="preserve">ms-sys-svexpressconsentquery-pe-micros-app-configs</t>
  </si>
  <si>
    <t xml:space="preserve">artifactory.apps.devops.aws.bancsabadell.com/p4-virtual/p4cp/ms-sys-svexpressconsentquery-pe:0.1.2</t>
  </si>
  <si>
    <t xml:space="preserve">ms-sys-svexpressconsentquery-pe-p4ms</t>
  </si>
  <si>
    <t xml:space="preserve">http://repos.bancsabadell.com/bitbucket/scm/P4CP/ms-sys-svexpressconsentquery-pe.git</t>
  </si>
  <si>
    <t xml:space="preserve">https://kubernetes-dashboard.apps.pro.aws.bancsabadell.com/#/configmap/pro-ns-sys/ms-sys-svexpressconsentquery-pe-micros-app-configs?namespace=pro-ns-sys</t>
  </si>
  <si>
    <t xml:space="preserve">ms-sys-notifications</t>
  </si>
  <si>
    <t xml:space="preserve">ms-sys-notifications-micros-app-configs</t>
  </si>
  <si>
    <t xml:space="preserve">artifactory.apps.devops.aws.bancsabadell.com/p4-virtual/p4des/ms-sys-notifications:1.9.3</t>
  </si>
  <si>
    <t xml:space="preserve">ms-sys-notifications-p4ms</t>
  </si>
  <si>
    <t xml:space="preserve">https://bitbucket.apps.devops.aws.bancsabadell.com/scm/p4des/ms-sys-notifications.git</t>
  </si>
  <si>
    <t xml:space="preserve">1.9.3</t>
  </si>
  <si>
    <t xml:space="preserve">1.14.1</t>
  </si>
  <si>
    <t xml:space="preserve">https://kubernetes-dashboard.apps.pro.aws.bancsabadell.com/#/configmap/pro-ns-sys/ms-sys-notifications-micros-app-configs?namespace=pro-ns-sys</t>
  </si>
  <si>
    <t xml:space="preserve">ms-sys-correspondence-bd</t>
  </si>
  <si>
    <t xml:space="preserve">ms-sys-correspondence-bd-micros-app-configs</t>
  </si>
  <si>
    <t xml:space="preserve">artifactory.apps.devops.aws.bancsabadell.com/p4-virtual/p4cp/ms-sys-correspondence-bd:1.0.5</t>
  </si>
  <si>
    <t xml:space="preserve">ms-sys-correspondence-bd-p4ms</t>
  </si>
  <si>
    <t xml:space="preserve">jblascor@nttdata.com</t>
  </si>
  <si>
    <t xml:space="preserve">http://repos.bancsabadell.com/bitbucket/scm/p4cp/ms-sys-correspondence-bd.git</t>
  </si>
  <si>
    <t xml:space="preserve">https://kubernetes-dashboard.apps.pro.aws.bancsabadell.com/#/configmap/pro-ns-sys/ms-sys-correspondence-bd-micros-app-configs?namespace=pro-ns-sys</t>
  </si>
  <si>
    <t xml:space="preserve">ms-sys-notifications-hub-registry</t>
  </si>
  <si>
    <t xml:space="preserve">ms-sys-notifications-hub-registry-micros-app-configs</t>
  </si>
  <si>
    <t xml:space="preserve">artifactory.apps.devops.aws.bancsabadell.com/p4-virtual/p4des/ms-sys-notifications-hub-registry:1.0.2</t>
  </si>
  <si>
    <t xml:space="preserve">ms-sys-notifications-hub-registry-p4ms</t>
  </si>
  <si>
    <t xml:space="preserve">https://bitbucket.apps.devops.aws.bancsabadell.com/scm/P4DES/ms-sys-notifications-hub-registry.git</t>
  </si>
  <si>
    <t xml:space="preserve">https://kubernetes-dashboard.apps.pro.aws.bancsabadell.com/#/configmap/pro-ns-sys/ms-sys-notifications-hub-registry-micros-app-configs?namespace=pro-ns-sys</t>
  </si>
  <si>
    <t xml:space="preserve">ms-sys-bank-guarantee-dds-v1</t>
  </si>
  <si>
    <t xml:space="preserve">ms-sys-bank-guarantee-dds-v1-micros-app-configs</t>
  </si>
  <si>
    <t xml:space="preserve">artifactory.apps.devops.aws.bancsabadell.com/p4-virtual/mobi/ms-sys-bank-guarantee-dds-v1:2.0.0</t>
  </si>
  <si>
    <t xml:space="preserve">ms-sys-bank-guarantee-dds-v1-p4ms</t>
  </si>
  <si>
    <t xml:space="preserve">http://repos.bancsabadell.com/bitbucket/scm/MOBI/ms-sys-bank-guarantee-dds-v1.git</t>
  </si>
  <si>
    <t xml:space="preserve">https://kubernetes-dashboard.apps.pro.aws.bancsabadell.com/#/configmap/pro-ns-sys/ms-sys-bank-guarantee-dds-v1-micros-app-configs?namespace=pro-ns-sys</t>
  </si>
  <si>
    <t xml:space="preserve">ms-sys-payment-initiation-dds-v1</t>
  </si>
  <si>
    <t xml:space="preserve">ms-sys-payment-initiation-dds-v1-micros-app-configs</t>
  </si>
  <si>
    <t xml:space="preserve">artifactory.apps.devops.aws.bancsabadell.com/p4-virtual/mobi/ms-sys-payment-initiation-dds-v1:2.0.3</t>
  </si>
  <si>
    <t xml:space="preserve">ms-sys-payment-initiation-dds-v1-p4ms</t>
  </si>
  <si>
    <t xml:space="preserve">http://repos.bancsabadell.com/bitbucket/scm/MOBI/ms-sys-payment-initiation-dds-v1.git</t>
  </si>
  <si>
    <t xml:space="preserve">https://kubernetes-dashboard.apps.pro.aws.bancsabadell.com/#/configmap/pro-ns-sys/ms-sys-payment-initiation-dds-v1-micros-app-configs?namespace=pro-ns-sys</t>
  </si>
  <si>
    <t xml:space="preserve">ms-sys-mortgage-loan-dds-v1</t>
  </si>
  <si>
    <t xml:space="preserve">ms-sys-mortgage-loan-dds-v1-micros-app-configs</t>
  </si>
  <si>
    <t xml:space="preserve">artifactory.apps.devops.aws.bancsabadell.com/p4-virtual/mobi/ms-sys-mortgage-loan-dds-v1:2.0.0</t>
  </si>
  <si>
    <t xml:space="preserve">ms-sys-mortgage-loan-dds-v1-p4ms</t>
  </si>
  <si>
    <t xml:space="preserve">http://repos.bancsabadell.com/bitbucket/scm/MOBI/ms-sys-mortgage-loan-dds-v1.git</t>
  </si>
  <si>
    <t xml:space="preserve">https://kubernetes-dashboard.apps.pro.aws.bancsabadell.com/#/configmap/pro-ns-sys/ms-sys-mortgage-loan-dds-v1-micros-app-configs?namespace=pro-ns-sys</t>
  </si>
  <si>
    <t xml:space="preserve">ms-sys-lead-and-opportunity-management</t>
  </si>
  <si>
    <t xml:space="preserve">ms-sys-lead-and-opportunity-management-micros-app-configs</t>
  </si>
  <si>
    <t xml:space="preserve">artifactory.apps.devops.aws.bancsabadell.com/p4-virtual/p4cp/ms-sys-lead-and-opportunity-management:0.2.7</t>
  </si>
  <si>
    <t xml:space="preserve">ms-sys-lead-and-opportunity-management-p4ms</t>
  </si>
  <si>
    <t xml:space="preserve">supriya.patle@accenture.com</t>
  </si>
  <si>
    <t xml:space="preserve">http://repos.bancsabadell.com/bitbucket/scm/P4CP/ms-sys-lead-and-opportunity-management.git</t>
  </si>
  <si>
    <t xml:space="preserve">0.2.1</t>
  </si>
  <si>
    <t xml:space="preserve">https://kubernetes-dashboard.apps.pro.aws.bancsabadell.com/#/configmap/pro-ns-sys/ms-sys-lead-and-opportunity-management-micros-app-configs?namespace=pro-ns-sys</t>
  </si>
  <si>
    <t xml:space="preserve">ms-openbanking-sys-accounts-dv</t>
  </si>
  <si>
    <t xml:space="preserve">ms-openbanking-sys-accounts-dv-micros-app-configs</t>
  </si>
  <si>
    <t xml:space="preserve">artifactory.apps.devops.aws.bancsabadell.com/p4-virtual/aisp/ms-openbanking-sys-accounts-dv:0.5.6</t>
  </si>
  <si>
    <t xml:space="preserve">ms-openbanking-sys-accounts-dv-p4ms</t>
  </si>
  <si>
    <t xml:space="preserve">http://repos.bancsabadell.com/bitbucket/scm/AISP/ms-openbanking-sys-accounts-dv.git</t>
  </si>
  <si>
    <t xml:space="preserve">https://kubernetes-dashboard.apps.pro.aws.bancsabadell.com/#/configmap/pro-ns-sys/ms-openbanking-sys-accounts-dv-micros-app-configs?namespace=pro-ns-sys</t>
  </si>
  <si>
    <t xml:space="preserve">ms-sys-notifications-hub-push-sender</t>
  </si>
  <si>
    <t xml:space="preserve">ms-sys-notifications-hub-push-sender-micros-app-configs</t>
  </si>
  <si>
    <t xml:space="preserve">artifactory.apps.devops.aws.bancsabadell.com/p4-virtual/p4des/ms-sys-notifications-hub-push-sender:1.0.2</t>
  </si>
  <si>
    <t xml:space="preserve">ms-sys-notifications-hub-push-sender-p4ms</t>
  </si>
  <si>
    <t xml:space="preserve">https://bitbucket.apps.devops.aws.bancsabadell.com/scm/p4des/ms-sys-notifications-hub-push-sender.git</t>
  </si>
  <si>
    <t xml:space="preserve">https://kubernetes-dashboard.apps.pro.aws.bancsabadell.com/#/configmap/pro-ns-sys/ms-sys-notifications-hub-push-sender-micros-app-configs?namespace=pro-ns-sys</t>
  </si>
  <si>
    <t xml:space="preserve">ms-sys-generator-api</t>
  </si>
  <si>
    <t xml:space="preserve">ms-sys-generator-api-micros-app-configs</t>
  </si>
  <si>
    <t xml:space="preserve">artifactory.apps.devops.aws.bancsabadell.com/p4-virtual/p4des/ms-sys-generator-api:1.4.1</t>
  </si>
  <si>
    <t xml:space="preserve">ms-sys-generator-api-p4ms</t>
  </si>
  <si>
    <t xml:space="preserve">https://bitbucket.apps.devops.aws.bancsabadell.com/scm/P4DES/ms-sys-generator-api.git</t>
  </si>
  <si>
    <t xml:space="preserve">https://kubernetes-dashboard.apps.pro.aws.bancsabadell.com/#/configmap/pro-ns-sys/ms-sys-generator-api-micros-app-configs?namespace=pro-ns-sys</t>
  </si>
  <si>
    <t xml:space="preserve">ms-sys-document-manager</t>
  </si>
  <si>
    <t xml:space="preserve">ms-sys-document-manager-micros-app-configs</t>
  </si>
  <si>
    <t xml:space="preserve">artifactory.apps.devops.aws.bancsabadell.com/p4-virtual/p4des/ms-sys-document-manager:1.12.0</t>
  </si>
  <si>
    <t xml:space="preserve">ms-sys-document-manager-p4ms</t>
  </si>
  <si>
    <t xml:space="preserve">https://bitbucket.apps.devops.aws.bancsabadell.com/scm/P4DES/ms-sys-document-manager.git</t>
  </si>
  <si>
    <t xml:space="preserve">0.0.18</t>
  </si>
  <si>
    <t xml:space="preserve">https://kubernetes-dashboard.apps.pro.aws.bancsabadell.com/#/configmap/pro-ns-sys/ms-sys-document-manager-micros-app-configs?namespace=pro-ns-sys</t>
  </si>
  <si>
    <t xml:space="preserve">ms-sys-consumo-datos</t>
  </si>
  <si>
    <t xml:space="preserve">ms-sys-consumo-datos-micros-app-configs</t>
  </si>
  <si>
    <t xml:space="preserve">artifactory.apps.devops.aws.bancsabadell.com/p4-virtual/esaccesodato/ms-sys-consumo-datos:1.2.5</t>
  </si>
  <si>
    <t xml:space="preserve">ms-sys-consumo-datos-p4ms</t>
  </si>
  <si>
    <t xml:space="preserve">miguel.tejedor@evolutio.com</t>
  </si>
  <si>
    <t xml:space="preserve">http://repos.bancsabadell.com/bitbucket/scm/ESACCESODATO/ms-sys-consumo-datos.git</t>
  </si>
  <si>
    <t xml:space="preserve">https://kubernetes-dashboard.apps.pro.aws.bancsabadell.com/#/configmap/pro-ns-sys/ms-sys-consumo-datos-micros-app-configs?namespace=pro-ns-sys</t>
  </si>
  <si>
    <t xml:space="preserve">ms-sys-customer-products-and-services-system-ar-v1</t>
  </si>
  <si>
    <t xml:space="preserve">ms-sys-customer-products-and-services-system-ar-v1-micros-app-configs</t>
  </si>
  <si>
    <t xml:space="preserve">artifactory.apps.devops.aws.bancsabadell.com/p4-virtual/p4cp/ms-sys-customer-products-and-services-system-ar-v1:2.0.0</t>
  </si>
  <si>
    <t xml:space="preserve">ms-sys-customer-products-and-services-system-ar-v1-p4ms</t>
  </si>
  <si>
    <t xml:space="preserve">http://repos.bancsabadell.com/bitbucket/scm/p4cp/ms-sys-customer-products-and-services-system-ar-v1.git</t>
  </si>
  <si>
    <t xml:space="preserve">https://kubernetes-dashboard.apps.pro.aws.bancsabadell.com/#/configmap/pro-ns-sys/ms-sys-customer-products-and-services-system-ar-v1-micros-app-configs?namespace=pro-ns-sys</t>
  </si>
  <si>
    <t xml:space="preserve">ms-sys-customer-position-dds-v1</t>
  </si>
  <si>
    <t xml:space="preserve">ms-sys-customer-position-dds-v1-micros-app-configs</t>
  </si>
  <si>
    <t xml:space="preserve">artifactory.apps.devops.aws.bancsabadell.com/p4-virtual/mobi/ms-sys-customer-position-dds-v1:2.0.1</t>
  </si>
  <si>
    <t xml:space="preserve">ms-sys-customer-position-dds-v1-p4ms</t>
  </si>
  <si>
    <t xml:space="preserve">http://repos.bancsabadell.com/bitbucket/scm/MOBI/ms-sys-customer-position-dds-v1.git</t>
  </si>
  <si>
    <t xml:space="preserve">https://kubernetes-dashboard.apps.pro.aws.bancsabadell.com/#/configmap/pro-ns-sys/ms-sys-customer-position-dds-v1-micros-app-configs?namespace=pro-ns-sys</t>
  </si>
  <si>
    <t xml:space="preserve">ms-sys-customer-campaign-execution-system-kx</t>
  </si>
  <si>
    <t xml:space="preserve">ms-sys-customer-campaign-execution-system-kx-micros-app-configs</t>
  </si>
  <si>
    <t xml:space="preserve">artifactory.apps.devops.aws.bancsabadell.com/p4-virtual/p4cp/ms-sys-customer-campaign-execution-system-kx:1.1.1</t>
  </si>
  <si>
    <t xml:space="preserve">ms-sys-customer-campaign-execution-system-kx-p4ms</t>
  </si>
  <si>
    <t xml:space="preserve">deeksha.b.yadav@accenture.com</t>
  </si>
  <si>
    <t xml:space="preserve">http://repos.bancsabadell.com/bitbucket/scm/P4CP/ms-sys-customer-campaign-execution-system-kx.git</t>
  </si>
  <si>
    <t xml:space="preserve">https://kubernetes-dashboard.apps.pro.aws.bancsabadell.com/#/configmap/pro-ns-sys/ms-sys-customer-campaign-execution-system-kx-micros-app-configs?namespace=pro-ns-sys</t>
  </si>
  <si>
    <t xml:space="preserve">ms-sys-party-reference-data-pe</t>
  </si>
  <si>
    <t xml:space="preserve">ms-sys-party-reference-data-pe-micros-app-configs</t>
  </si>
  <si>
    <t xml:space="preserve">artifactory.apps.devops.aws.bancsabadell.com/p4-virtual/p4cp/ms-sys-party-reference-data-pe:1.11.2</t>
  </si>
  <si>
    <t xml:space="preserve">ms-sys-party-reference-data-pe-p4ms</t>
  </si>
  <si>
    <t xml:space="preserve">http://repos.bancsabadell.com/bitbucket/scm/P4CP/ms-sys-party-reference-data-pe.git</t>
  </si>
  <si>
    <t xml:space="preserve">1.11.2</t>
  </si>
  <si>
    <t xml:space="preserve">1.6.2</t>
  </si>
  <si>
    <t xml:space="preserve">https://kubernetes-dashboard.apps.pro.aws.bancsabadell.com/#/configmap/pro-ns-sys/ms-sys-party-reference-data-pe-micros-app-configs?namespace=pro-ns-sys</t>
  </si>
  <si>
    <t xml:space="preserve">ms-sys-creditmanagement</t>
  </si>
  <si>
    <t xml:space="preserve">ms-sys-creditmanagement-micros-app-configs</t>
  </si>
  <si>
    <t xml:space="preserve">artifactory.apps.devops.aws.bancsabadell.com/p4-virtual/esraroc/ms-sys-creditmanagement:4.0.49</t>
  </si>
  <si>
    <t xml:space="preserve">ms-sys-creditmanagement-p4ms</t>
  </si>
  <si>
    <t xml:space="preserve">rahul.a.raj@accenture.com</t>
  </si>
  <si>
    <t xml:space="preserve">http://repos.bancsabadell.com/bitbucket/scm/ESRAROC/ms-sys-creditmanagement.git</t>
  </si>
  <si>
    <t xml:space="preserve">4.0.49</t>
  </si>
  <si>
    <t xml:space="preserve">0.3.17</t>
  </si>
  <si>
    <t xml:space="preserve">https://kubernetes-dashboard.apps.pro.aws.bancsabadell.com/#/configmap/pro-ns-sys/ms-sys-creditmanagement-micros-app-configs?namespace=pro-ns-sys</t>
  </si>
  <si>
    <t xml:space="preserve">ms-sys-party-reference-data-bd-v1</t>
  </si>
  <si>
    <t xml:space="preserve">ms-sys-party-reference-data-bd-v1-micros-app-configs</t>
  </si>
  <si>
    <t xml:space="preserve">artifactory.apps.devops.aws.bancsabadell.com/p4-virtual/mobi/ms-sys-party-reference-data-bd-v1:1.0.2</t>
  </si>
  <si>
    <t xml:space="preserve">ms-sys-party-reference-data-bd-v1-p4ms</t>
  </si>
  <si>
    <t xml:space="preserve">Fernando.perez@gft.com</t>
  </si>
  <si>
    <t xml:space="preserve">http://repos.bancsabadell.com/bitbucket/scm/MOBI/ms-sys-party-reference-data-bd-v1.git</t>
  </si>
  <si>
    <t xml:space="preserve">https://kubernetes-dashboard.apps.pro.aws.bancsabadell.com/#/configmap/pro-ns-sys/ms-sys-party-reference-data-bd-v1-micros-app-configs?namespace=pro-ns-sys</t>
  </si>
  <si>
    <t xml:space="preserve">ms-sys-party-lifecycle-management-pe-v1</t>
  </si>
  <si>
    <t xml:space="preserve">ms-sys-party-lifecycle-management-pe-v1-micros-app-configs</t>
  </si>
  <si>
    <t xml:space="preserve">artifactory.apps.devops.aws.bancsabadell.com/p4-virtual/p4cp/ms-sys-party-lifecycle-management-pe-v1:1.1.2</t>
  </si>
  <si>
    <t xml:space="preserve">ms-sys-party-lifecycle-management-pe-v1-p4ms</t>
  </si>
  <si>
    <t xml:space="preserve">rgarcpom@emeal.nttdata.com</t>
  </si>
  <si>
    <t xml:space="preserve">http://repos.bancsabadell.com/bitbucket/scm/P4CP/ms-sys-party-lifecycle-management-pe-v1.git</t>
  </si>
  <si>
    <t xml:space="preserve">https://kubernetes-dashboard.apps.pro.aws.bancsabadell.com/#/configmap/pro-ns-sys/ms-sys-party-lifecycle-management-pe-v1-micros-app-configs?namespace=pro-ns-sys</t>
  </si>
  <si>
    <t xml:space="preserve">ms-sys-public-reference-data-management-av</t>
  </si>
  <si>
    <t xml:space="preserve">ms-sys-public-reference-data-management-av-micros-app-configs</t>
  </si>
  <si>
    <t xml:space="preserve">artifactory.apps.devops.aws.bancsabadell.com/p4-virtual/p4cp/ms-sys-public-reference-data-management-av:1.2.3</t>
  </si>
  <si>
    <t xml:space="preserve">ms-sys-public-reference-data-management-av-p4ms</t>
  </si>
  <si>
    <t xml:space="preserve">http://repos.bancsabadell.com/bitbucket/scm/P4CP/ms-sys-public-reference-data-management-av.git</t>
  </si>
  <si>
    <t xml:space="preserve">https://kubernetes-dashboard.apps.pro.aws.bancsabadell.com/#/configmap/pro-ns-sys/ms-sys-public-reference-data-management-av-micros-app-configs?namespace=pro-ns-sys</t>
  </si>
  <si>
    <t xml:space="preserve">ms-sys-investment-account</t>
  </si>
  <si>
    <t xml:space="preserve">ms-sys-investment-account-micros-app-configs</t>
  </si>
  <si>
    <t xml:space="preserve">artifactory.apps.devops.aws.bancsabadell.com/p4-virtual/p4gc/ms-sys-investment-account:1.2.6</t>
  </si>
  <si>
    <t xml:space="preserve">ms-sys-investment-account-p4ms</t>
  </si>
  <si>
    <t xml:space="preserve">http://repos.bancsabadell.com/bitbucket/scm/P4GC/ms-sys-investment-account.git</t>
  </si>
  <si>
    <t xml:space="preserve">https://kubernetes-dashboard.apps.pro.aws.bancsabadell.com/#/configmap/pro-ns-sys/ms-sys-investment-account-micros-app-configs?namespace=pro-ns-sys</t>
  </si>
  <si>
    <t xml:space="preserve">ms-sys-customer-access-entitlement</t>
  </si>
  <si>
    <t xml:space="preserve">ms-sys-customer-access-entitlement-micros-app-configs</t>
  </si>
  <si>
    <t xml:space="preserve">artifactory.apps.devops.aws.bancsabadell.com/p4-virtual/p4cp/ms-sys-customer-access-entitlement:1.2.0</t>
  </si>
  <si>
    <t xml:space="preserve">ms-sys-customer-access-entitlement-p4ms</t>
  </si>
  <si>
    <t xml:space="preserve">aravind.annarapu@accenture.com</t>
  </si>
  <si>
    <t xml:space="preserve">http://repos.bancsabadell.com/bitbucket/scm/P4CP/ms-sys-customer-access-entitlement.git</t>
  </si>
  <si>
    <t xml:space="preserve">https://kubernetes-dashboard.apps.pro.aws.bancsabadell.com/#/configmap/pro-ns-sys/ms-sys-customer-access-entitlement-micros-app-configs?namespace=pro-ns-sys</t>
  </si>
  <si>
    <t xml:space="preserve">ms-sys-customer-credit-rating-risk-system-sp</t>
  </si>
  <si>
    <t xml:space="preserve">ms-sys-customer-credit-rating-risk-system-sp-micros-app-configs</t>
  </si>
  <si>
    <t xml:space="preserve">artifactory.apps.devops.aws.bancsabadell.com/p4-virtual/p4cp/ms-sys-customer-credit-rating-risk-system-sp:2.1.6</t>
  </si>
  <si>
    <t xml:space="preserve">ms-sys-customer-credit-rating-risk-system-sp-p4ms</t>
  </si>
  <si>
    <t xml:space="preserve">http://repos.bancsabadell.com/bitbucket/scm/P4CP/ms-sys-customer-credit-rating-risk-system-sp.git</t>
  </si>
  <si>
    <t xml:space="preserve">2.1.6</t>
  </si>
  <si>
    <t xml:space="preserve">https://kubernetes-dashboard.apps.pro.aws.bancsabadell.com/#/configmap/pro-ns-sys/ms-sys-customer-credit-rating-risk-system-sp-micros-app-configs?namespace=pro-ns-sys</t>
  </si>
  <si>
    <t xml:space="preserve">ms-sys-consumer-loan-dds-v1</t>
  </si>
  <si>
    <t xml:space="preserve">ms-sys-consumer-loan-dds-v1-micros-app-configs</t>
  </si>
  <si>
    <t xml:space="preserve">artifactory.apps.devops.aws.bancsabadell.com/p4-virtual/mobi/ms-sys-consumer-loan-dds-v1:2.0.6</t>
  </si>
  <si>
    <t xml:space="preserve">ms-sys-consumer-loan-dds-v1-p4ms</t>
  </si>
  <si>
    <t xml:space="preserve">http://repos.bancsabadell.com/bitbucket/scm/MOBI/ms-sys-consumer-loan-dds-v1.git</t>
  </si>
  <si>
    <t xml:space="preserve">2.0.6</t>
  </si>
  <si>
    <t xml:space="preserve">https://kubernetes-dashboard.apps.pro.aws.bancsabadell.com/#/configmap/pro-ns-sys/ms-sys-consumer-loan-dds-v1-micros-app-configs?namespace=pro-ns-sys</t>
  </si>
  <si>
    <t xml:space="preserve">ms-sys-customer-access-entitlement-pe-v1</t>
  </si>
  <si>
    <t xml:space="preserve">ms-sys-customer-access-entitlement-pe-v1-micros-app-configs</t>
  </si>
  <si>
    <t xml:space="preserve">artifactory.apps.devops.aws.bancsabadell.com/p4-virtual/p4cp/ms-sys-customer-access-entitlement-pe-v1:1.0.3</t>
  </si>
  <si>
    <t xml:space="preserve">ms-sys-customer-access-entitlement-pe-v1-p4ms</t>
  </si>
  <si>
    <t xml:space="preserve">http://repos.bancsabadell.com/bitbucket/scm/P4CP/ms-sys-customer-access-entitlement-pe-v1.git</t>
  </si>
  <si>
    <t xml:space="preserve">https://kubernetes-dashboard.apps.pro.aws.bancsabadell.com/#/configmap/pro-ns-sys/ms-sys-customer-access-entitlement-pe-v1-micros-app-configs?namespace=pro-ns-sys</t>
  </si>
  <si>
    <t xml:space="preserve">ms-sys-payment-rail-operations-auxiliary</t>
  </si>
  <si>
    <t xml:space="preserve">ms-sys-payment-rail-operations-auxiliary-micros-app-configs</t>
  </si>
  <si>
    <t xml:space="preserve">artifactory.apps.devops.aws.bancsabadell.com/p4-virtual/p4cp/ms-sys-payment-rail-operations-auxiliary:0.3.1</t>
  </si>
  <si>
    <t xml:space="preserve">ms-sys-payment-rail-operations-auxiliary-p4ms</t>
  </si>
  <si>
    <t xml:space="preserve">sanjeev.d.ranajn@accenture.com</t>
  </si>
  <si>
    <t xml:space="preserve">http://repos.bancsabadell.com/bitbucket/scm/P4CP/ms-sys-payment-rail-operations-auxiliary.git</t>
  </si>
  <si>
    <t xml:space="preserve">https://kubernetes-dashboard.apps.pro.aws.bancsabadell.com/#/configmap/pro-ns-sys/ms-sys-payment-rail-operations-auxiliary-micros-app-configs?namespace=pro-ns-sys</t>
  </si>
  <si>
    <t xml:space="preserve">ms-sys-fraud-resolution-system-payguard-v1</t>
  </si>
  <si>
    <t xml:space="preserve">ms-sys-fraud-resolution-system-payguard-v1-micros-app-configs</t>
  </si>
  <si>
    <t xml:space="preserve">artifactory.apps.devops.aws.bancsabadell.com/p4-virtual/essabphishing/ms-sys-fraud-resolution-system-payguard-v1:1.0.2</t>
  </si>
  <si>
    <t xml:space="preserve">ms-sys-fraud-resolution-system-payguard-v1-p4ms</t>
  </si>
  <si>
    <t xml:space="preserve">http://repos.bancsabadell.com/bitbucket/scm/ESSABPHISHING/ms-sys-fraud-resolution-system-payguard-v1.git</t>
  </si>
  <si>
    <t xml:space="preserve">https://kubernetes-dashboard.apps.pro.aws.bancsabadell.com/#/configmap/pro-ns-sys/ms-sys-fraud-resolution-system-payguard-v1-micros-app-configs?namespace=pro-ns-sys</t>
  </si>
  <si>
    <t xml:space="preserve">ms-sys-card-financial-settlement-ps</t>
  </si>
  <si>
    <t xml:space="preserve">ms-sys-card-financial-settlement-ps-micros-app-configs</t>
  </si>
  <si>
    <t xml:space="preserve">artifactory.apps.devops.aws.bancsabadell.com/p4-virtual/p4cp/ms-sys-card-financial-settlement-ps:1.0.7</t>
  </si>
  <si>
    <t xml:space="preserve">ms-sys-card-financial-settlement-ps-p4ms</t>
  </si>
  <si>
    <t xml:space="preserve">pjalvarezs@minsait.com</t>
  </si>
  <si>
    <t xml:space="preserve">http://repos.bancsabadell.com/bitbucket/scm/p4cp/ms-sys-card-financial-settlement-ps.git</t>
  </si>
  <si>
    <t xml:space="preserve">https://kubernetes-dashboard.apps.pro.aws.bancsabadell.com/#/configmap/pro-ns-sys/ms-sys-card-financial-settlement-ps-micros-app-configs?namespace=pro-ns-sys</t>
  </si>
  <si>
    <t xml:space="preserve">ms-sys-current-account-kc</t>
  </si>
  <si>
    <t xml:space="preserve">ms-sys-current-account-kc-micros-app-configs</t>
  </si>
  <si>
    <t xml:space="preserve">artifactory.apps.devops.aws.bancsabadell.com/p4-virtual/poojj/ms-sys-current-account-kc:1.0.6</t>
  </si>
  <si>
    <t xml:space="preserve">ms-sys-current-account-kc-p4ms</t>
  </si>
  <si>
    <t xml:space="preserve">http://repos.bancsabadell.com/bitbucket/scm/POOJJ/ms-sys-current-account-kc.git</t>
  </si>
  <si>
    <t xml:space="preserve">https://kubernetes-dashboard.apps.pro.aws.bancsabadell.com/#/configmap/pro-ns-sys/ms-sys-current-account-kc-micros-app-configs?namespace=pro-ns-sys</t>
  </si>
  <si>
    <t xml:space="preserve">ms-sys-customer-offer-sv-v1</t>
  </si>
  <si>
    <t xml:space="preserve">ms-sys-customer-offer-sv-v1-micros-app-configs</t>
  </si>
  <si>
    <t xml:space="preserve">artifactory.apps.devops.aws.bancsabadell.com/p4-virtual/p4cp/ms-sys-customer-offer-sv-v1:1.0.9</t>
  </si>
  <si>
    <t xml:space="preserve">ms-sys-customer-offer-sv-v1-p4ms</t>
  </si>
  <si>
    <t xml:space="preserve">javier.egelarab@emeal.nttdata.com</t>
  </si>
  <si>
    <t xml:space="preserve">http://repos.bancsabadell.com/bitbucket/scm/P4CP/ms-sys-customer-offer-sv-v1.git</t>
  </si>
  <si>
    <t xml:space="preserve">https://kubernetes-dashboard.apps.pro.aws.bancsabadell.com/#/configmap/pro-ns-sys/ms-sys-customer-offer-sv-v1-micros-app-configs?namespace=pro-ns-sys</t>
  </si>
  <si>
    <t xml:space="preserve">ms-sys-customer-product-and-service-eleg-oa-v2</t>
  </si>
  <si>
    <t xml:space="preserve">ms-sys-customer-product-and-service-eleg-oa-v2-micros-app-configs</t>
  </si>
  <si>
    <t xml:space="preserve">artifactory.apps.devops.aws.bancsabadell.com/p4-virtual/p4cp/ms-sys-customer-product-and-service-eleg-oa-v2:0.3.8</t>
  </si>
  <si>
    <t xml:space="preserve">ms-sys-customer-product-and-service-eleg-oa-v2-p4ms</t>
  </si>
  <si>
    <t xml:space="preserve">http://repos.bancsabadell.com/bitbucket/scm/P4CP/ms-sys-customer-product-and-service-eleg-oa-v2.git</t>
  </si>
  <si>
    <t xml:space="preserve">0.3.8</t>
  </si>
  <si>
    <t xml:space="preserve">https://kubernetes-dashboard.apps.pro.aws.bancsabadell.com/#/configmap/pro-ns-sys/ms-sys-customer-product-and-service-eleg-oa-v2-micros-app-configs?namespace=pro-ns-sys</t>
  </si>
  <si>
    <t xml:space="preserve">ms-sys-card-financial-settlement-v1</t>
  </si>
  <si>
    <t xml:space="preserve">ms-sys-card-financial-settlement-v1-micros-app-configs</t>
  </si>
  <si>
    <t xml:space="preserve">artifactory.apps.devops.aws.bancsabadell.com/p4-virtual/p4cp/ms-sys-card-financial-settlement-v1:1.3.19</t>
  </si>
  <si>
    <t xml:space="preserve">ms-sys-card-financial-settlement-v1-p4ms</t>
  </si>
  <si>
    <t xml:space="preserve">http://repos.bancsabadell.com/bitbucket/scm/P4CP/ms-sys-card-financial-settlement-v1.git</t>
  </si>
  <si>
    <t xml:space="preserve">1.3.13</t>
  </si>
  <si>
    <t xml:space="preserve">https://kubernetes-dashboard.apps.pro.aws.bancsabadell.com/#/configmap/pro-ns-sys/ms-sys-card-financial-settlement-v1-micros-app-configs?namespace=pro-ns-sys</t>
  </si>
  <si>
    <t xml:space="preserve">ms-dds-sys-transactions-v2</t>
  </si>
  <si>
    <t xml:space="preserve">ms-dds-sys-transactions-v2-micros-app-configs</t>
  </si>
  <si>
    <t xml:space="preserve">artifactory.apps.devops.aws.bancsabadell.com/p4-virtual/dds/ms-dds-sys-transactions-v2:0.2.73</t>
  </si>
  <si>
    <t xml:space="preserve">ms-dds-sys-transactions-v2-p4ms</t>
  </si>
  <si>
    <t xml:space="preserve">http://repos.bancsabadell.com/bitbucket/scm/DDS/ms-dds-sys-transactions-v2.git</t>
  </si>
  <si>
    <t xml:space="preserve">0.2.73</t>
  </si>
  <si>
    <t xml:space="preserve">https://kubernetes-dashboard.apps.pro.aws.bancsabadell.com/#/configmap/pro-ns-sys/ms-dds-sys-transactions-v2-micros-app-configs?namespace=pro-ns-sys</t>
  </si>
  <si>
    <t xml:space="preserve">ms-sys-customer-access-entitlement-oa-v1</t>
  </si>
  <si>
    <t xml:space="preserve">ms-sys-customer-access-entitlement-oa-v1-micros-app-configs</t>
  </si>
  <si>
    <t xml:space="preserve">artifactory.apps.devops.aws.bancsabadell.com/p4-virtual/p4cp/ms-sys-customer-access-entitlement-oa-v1:1.0.16</t>
  </si>
  <si>
    <t xml:space="preserve">ms-sys-customer-access-entitlement-oa-v1-p4ms</t>
  </si>
  <si>
    <t xml:space="preserve">http://repos.bancsabadell.com/bitbucket/scm/P4CP/ms-sys-customer-access-entitlement-oa-v1.git</t>
  </si>
  <si>
    <t xml:space="preserve">https://kubernetes-dashboard.apps.pro.aws.bancsabadell.com/#/configmap/pro-ns-sys/ms-sys-customer-access-entitlement-oa-v1-micros-app-configs?namespace=pro-ns-sys</t>
  </si>
  <si>
    <t xml:space="preserve">ms-sys-card-terminal-operation-ps</t>
  </si>
  <si>
    <t xml:space="preserve">ms-sys-card-terminal-operation-ps-micros-app-configs</t>
  </si>
  <si>
    <t xml:space="preserve">artifactory.apps.devops.aws.bancsabadell.com/p4-virtual/p4cp/ms-sys-card-terminal-operation-ps:1.0.7</t>
  </si>
  <si>
    <t xml:space="preserve">ms-sys-card-terminal-operation-ps-p4ms</t>
  </si>
  <si>
    <t xml:space="preserve">http://repos.bancsabadell.com/bitbucket/scm/P4CP/ms-sys-card-terminal-operation-ps.git</t>
  </si>
  <si>
    <t xml:space="preserve">https://kubernetes-dashboard.apps.pro.aws.bancsabadell.com/#/configmap/pro-ns-sys/ms-sys-card-terminal-operation-ps-micros-app-configs?namespace=pro-ns-sys</t>
  </si>
  <si>
    <t xml:space="preserve">ms-sys-customer-relationship-management-app-v1</t>
  </si>
  <si>
    <t xml:space="preserve">ms-sys-customer-relationship-management-app-v1-micros-app-configs</t>
  </si>
  <si>
    <t xml:space="preserve">artifactory.apps.devops.aws.bancsabadell.com/p4-virtual/mobi/ms-sys-customer-relationship-management-app-v1:1.2.5</t>
  </si>
  <si>
    <t xml:space="preserve">ms-sys-customer-relationship-management-app-v1-p4ms</t>
  </si>
  <si>
    <t xml:space="preserve">http://repos.bancsabadell.com/bitbucket/scm/MOBI/ms-sys-customer-relationship-management-app-v1.git</t>
  </si>
  <si>
    <t xml:space="preserve">https://kubernetes-dashboard.apps.pro.aws.bancsabadell.com/#/configmap/pro-ns-sys/ms-sys-customer-relationship-management-app-v1-micros-app-configs?namespace=pro-ns-sys</t>
  </si>
  <si>
    <t xml:space="preserve">ms-sys-cirbe-system-sp</t>
  </si>
  <si>
    <t xml:space="preserve">ms-sys-cirbe-system-sp-micros-app-configs</t>
  </si>
  <si>
    <t xml:space="preserve">artifactory.apps.devops.aws.bancsabadell.com/p4-virtual/p4cp/ms-sys-cirbe-system-sp:2.0.7</t>
  </si>
  <si>
    <t xml:space="preserve">ms-sys-cirbe-system-sp-p4ms</t>
  </si>
  <si>
    <t xml:space="preserve">arayon@minsait.com</t>
  </si>
  <si>
    <t xml:space="preserve">http://repos.bancsabadell.com/bitbucket/scm/P4CP/ms-sys-cirbe-system-sp.git</t>
  </si>
  <si>
    <t xml:space="preserve">https://kubernetes-dashboard.apps.pro.aws.bancsabadell.com/#/configmap/pro-ns-sys/ms-sys-cirbe-system-sp-micros-app-configs?namespace=pro-ns-sys</t>
  </si>
  <si>
    <t xml:space="preserve">ms-sys-notifications-hub-historical</t>
  </si>
  <si>
    <t xml:space="preserve">ms-sys-notifications-hub-historical-micros-app-configs</t>
  </si>
  <si>
    <t xml:space="preserve">artifactory.apps.devops.aws.bancsabadell.com/p4-virtual/p4des/ms-sys-notifications-hub-historical:1.0.7</t>
  </si>
  <si>
    <t xml:space="preserve">ms-sys-notifications-hub-historical-p4ms</t>
  </si>
  <si>
    <t xml:space="preserve">https://bitbucket.apps.devops.aws.bancsabadell.com/scm/p4des/ms-sys-notifications-hub-historical.git</t>
  </si>
  <si>
    <t xml:space="preserve">https://kubernetes-dashboard.apps.pro.aws.bancsabadell.com/#/configmap/pro-ns-sys/ms-sys-notifications-hub-historical-micros-app-configs?namespace=pro-ns-sys</t>
  </si>
  <si>
    <t xml:space="preserve">ms-sys-doc-generator</t>
  </si>
  <si>
    <t xml:space="preserve">ms-sys-doc-generator-micros-app-configs</t>
  </si>
  <si>
    <t xml:space="preserve">artifactory.apps.devops.aws.bancsabadell.com/p4-virtual/p4cp/ms-sys-doc-generator:1.0.1</t>
  </si>
  <si>
    <t xml:space="preserve">ms-sys-doc-generator-p4ms</t>
  </si>
  <si>
    <t xml:space="preserve">http://repos.bancsabadell.com/bitbucket/scm/P4CP/ms-sys-doc-generator.git</t>
  </si>
  <si>
    <t xml:space="preserve">https://kubernetes-dashboard.apps.pro.aws.bancsabadell.com/#/configmap/pro-ns-sys/ms-sys-doc-generator-micros-app-configs?namespace=pro-ns-sys</t>
  </si>
  <si>
    <t xml:space="preserve">ms-sys-customer-credit-rating-cirbe-zi-v1</t>
  </si>
  <si>
    <t xml:space="preserve">ms-sys-customer-credit-rating-cirbe-zi-v1-micros-app-configs</t>
  </si>
  <si>
    <t xml:space="preserve">artifactory.apps.devops.aws.bancsabadell.com/p4-virtual/p4cp/ms-sys-customer-credit-rating-cirbe-zi-v1:1.2.4</t>
  </si>
  <si>
    <t xml:space="preserve">ms-sys-customer-credit-rating-cirbe-zi-v1-p4ms</t>
  </si>
  <si>
    <t xml:space="preserve">http://repos.bancsabadell.com/bitbucket/scm/P4CP/ms-sys-customer-credit-rating-cirbe-zi-v1.git</t>
  </si>
  <si>
    <t xml:space="preserve">https://kubernetes-dashboard.apps.pro.aws.bancsabadell.com/#/configmap/pro-ns-sys/ms-sys-customer-credit-rating-cirbe-zi-v1-micros-app-configs?namespace=pro-ns-sys</t>
  </si>
  <si>
    <t xml:space="preserve">ms-sys-intercam</t>
  </si>
  <si>
    <t xml:space="preserve">ms-sys-intercam-micros-app-configs</t>
  </si>
  <si>
    <t xml:space="preserve">artifactory.apps.devops.aws.bancsabadell.com/p4-virtual/p4cp/ms-sys-intercam:1.0.1</t>
  </si>
  <si>
    <t xml:space="preserve">ms-sys-intercam-p4ms</t>
  </si>
  <si>
    <t xml:space="preserve">Puig ROLDAND@sabadelldigital.com</t>
  </si>
  <si>
    <t xml:space="preserve">http://repos.bancsabadell.com/bitbucket/scm/P4CP/ms-sys-intercam.git</t>
  </si>
  <si>
    <t xml:space="preserve">https://kubernetes-dashboard.apps.pro.aws.bancsabadell.com/#/configmap/pro-ns-sys/ms-sys-intercam-micros-app-configs?namespace=pro-ns-sys</t>
  </si>
  <si>
    <t xml:space="preserve">ms-sys-users</t>
  </si>
  <si>
    <t xml:space="preserve">ms-sys-users-micros-app-configs</t>
  </si>
  <si>
    <t xml:space="preserve">artifactory.apps.devops.aws.bancsabadell.com/p4-virtual/p4des/ms-sys-users:1.15.0</t>
  </si>
  <si>
    <t xml:space="preserve">ms-sys-users-p4ms</t>
  </si>
  <si>
    <t xml:space="preserve">https://bitbucket.apps.devops.aws.bancsabadell.com/scm/p4des/ms-sys-users.git</t>
  </si>
  <si>
    <t xml:space="preserve">1.14.2</t>
  </si>
  <si>
    <t xml:space="preserve">https://kubernetes-dashboard.apps.pro.aws.bancsabadell.com/#/configmap/pro-ns-sys/ms-sys-users-micros-app-configs?namespace=pro-ns-sys</t>
  </si>
  <si>
    <t xml:space="preserve">ms-sys-notifications-hub-tracking</t>
  </si>
  <si>
    <t xml:space="preserve">ms-sys-notifications-hub-tracking-micros-app-configs</t>
  </si>
  <si>
    <t xml:space="preserve">artifactory.apps.devops.aws.bancsabadell.com/p4-virtual/p4des/ms-sys-notifications-hub-tracking:1.0.2</t>
  </si>
  <si>
    <t xml:space="preserve">ms-sys-notifications-hub-tracking-p4ms</t>
  </si>
  <si>
    <t xml:space="preserve">https://bitbucket.apps.devops.aws.bancsabadell.com/scm/P4DES/ms-sys-notifications-hub-tracking.git</t>
  </si>
  <si>
    <t xml:space="preserve">https://kubernetes-dashboard.apps.pro.aws.bancsabadell.com/#/configmap/pro-ns-sys/ms-sys-notifications-hub-tracking-micros-app-configs?namespace=pro-ns-sys</t>
  </si>
  <si>
    <t xml:space="preserve">ms-sys-speech-analytics</t>
  </si>
  <si>
    <t xml:space="preserve">ms-sys-speech-analytics-micros-py-configs</t>
  </si>
  <si>
    <t xml:space="preserve">artifactory.apps.devops.aws.bancsabadell.com/p4-virtual/ms-sys-speech-analytics:2.0.9</t>
  </si>
  <si>
    <t xml:space="preserve">ms-sys-speech-analytics-p4mspy</t>
  </si>
  <si>
    <t xml:space="preserve">http://repos.bancsabadell.com/bitbucket/scm/span/ms-sys-speech-analytics.git</t>
  </si>
  <si>
    <t xml:space="preserve">2.0.9</t>
  </si>
  <si>
    <t xml:space="preserve">2.0.11</t>
  </si>
  <si>
    <t xml:space="preserve">https://kubernetes-dashboard.apps.pro.aws.bancsabadell.com/#/configmap/pro-ns-sys/ms-sys-speech-analytics-micros-py-configs?namespace=pro-ns-sys</t>
  </si>
  <si>
    <t xml:space="preserve">ms-sys-payment-rail-operations-reception-ip</t>
  </si>
  <si>
    <t xml:space="preserve">ms-sys-payment-rail-operations-reception-ip-micros-app-configs</t>
  </si>
  <si>
    <t xml:space="preserve">artifactory.apps.devops.aws.bancsabadell.com/p4-virtual/p4cp/ms-sys-payment-rail-operations-reception-ip:0.4.9</t>
  </si>
  <si>
    <t xml:space="preserve">ms-sys-payment-rail-operations-reception-ip-p4ms</t>
  </si>
  <si>
    <t xml:space="preserve">http://repos.bancsabadell.com/bitbucket/scm/p4cp/ms-sys-payment-rail-operations-reception-ip.git</t>
  </si>
  <si>
    <t xml:space="preserve">0.4.9</t>
  </si>
  <si>
    <t xml:space="preserve">3.9.9-SNAPSHOT</t>
  </si>
  <si>
    <t xml:space="preserve">https://kubernetes-dashboard.apps.pro.aws.bancsabadell.com/#/configmap/pro-ns-sys/ms-sys-payment-rail-operations-reception-ip-micros-app-configs?namespace=pro-ns-sys</t>
  </si>
  <si>
    <t xml:space="preserve">ms-sys-er-minorista-ex</t>
  </si>
  <si>
    <t xml:space="preserve">ms-sys-er-minorista-ex-micros-app-configs</t>
  </si>
  <si>
    <t xml:space="preserve">artifactory.apps.devops.aws.bancsabadell.com/p4-virtual/er/ms-sys-er-minorista-ex:1.182.0</t>
  </si>
  <si>
    <t xml:space="preserve">ms-sys-er-minorista-ex-p4ms</t>
  </si>
  <si>
    <t xml:space="preserve">http://repos.bancsabadell.com/bitbucket/scm/ER/ms-sys-er-minorista-ex.git</t>
  </si>
  <si>
    <t xml:space="preserve">1.182.0</t>
  </si>
  <si>
    <t xml:space="preserve">1.29.5</t>
  </si>
  <si>
    <t xml:space="preserve">https://kubernetes-dashboard.apps.pro.aws.bancsabadell.com/#/configmap/pro-ns-sys/ms-sys-er-minorista-ex-micros-app-configs?namespace=pro-ns-sys</t>
  </si>
  <si>
    <t xml:space="preserve">ms-sys-bs2aeat</t>
  </si>
  <si>
    <t xml:space="preserve">ms-sys-bs2aeat-micros-app-configs</t>
  </si>
  <si>
    <t xml:space="preserve">artifactory.apps.devops.aws.bancsabadell.com/p4-virtual/esic/ms-sys-bs2aeat:2.4.2</t>
  </si>
  <si>
    <t xml:space="preserve">ms-sys-bs2aeat-p4ms</t>
  </si>
  <si>
    <t xml:space="preserve">http://repos.bancsabadell.com/bitbucket/scm/ESIC/ms-sys-bs2aeat.git</t>
  </si>
  <si>
    <t xml:space="preserve">2.4.2</t>
  </si>
  <si>
    <t xml:space="preserve">2.3.19</t>
  </si>
  <si>
    <t xml:space="preserve">https://kubernetes-dashboard.apps.pro.aws.bancsabadell.com/#/configmap/pro-ns-sys/ms-sys-bs2aeat-micros-app-configs?namespace=pro-ns-sys</t>
  </si>
  <si>
    <t xml:space="preserve">ms-sys-credit-facility-online-pr</t>
  </si>
  <si>
    <t xml:space="preserve">ms-sys-credit-facility-online-pr-micros-app-configs</t>
  </si>
  <si>
    <t xml:space="preserve">artifactory.apps.devops.aws.bancsabadell.com/p4-virtual/p4cp/ms-sys-credit-facility-online-pr:1.3.1</t>
  </si>
  <si>
    <t xml:space="preserve">ms-sys-credit-facility-online-pr-p4ms</t>
  </si>
  <si>
    <t xml:space="preserve">http://repos.bancsabadell.com/bitbucket/scm/P4CP/ms-sys-credit-facility-online-pr.git</t>
  </si>
  <si>
    <t xml:space="preserve">https://kubernetes-dashboard.apps.pro.aws.bancsabadell.com/#/configmap/pro-ns-sys/ms-sys-credit-facility-online-pr-micros-app-configs?namespace=pro-ns-sys</t>
  </si>
  <si>
    <t xml:space="preserve">ms-dds-sys-transactions</t>
  </si>
  <si>
    <t xml:space="preserve">ms-dds-sys-transactions-micros-app-configs</t>
  </si>
  <si>
    <t xml:space="preserve">artifactory.apps.devops.aws.bancsabadell.com/p4-virtual/dds/ms-dds-sys-transactions:0.1.20</t>
  </si>
  <si>
    <t xml:space="preserve">ms-dds-sys-transactions-p4ms</t>
  </si>
  <si>
    <t xml:space="preserve">d.velasco.talavera@accenture.com</t>
  </si>
  <si>
    <t xml:space="preserve">http://repos.bancsabadell.com/bitbucket/scm/dds/ms-dds-sys-transactions.git</t>
  </si>
  <si>
    <t xml:space="preserve">0.1.20</t>
  </si>
  <si>
    <t xml:space="preserve">https://kubernetes-dashboard.apps.pro.aws.bancsabadell.com/#/configmap/pro-ns-sys/ms-dds-sys-transactions-micros-app-configs?namespace=pro-ns-sys</t>
  </si>
  <si>
    <t xml:space="preserve">ms-sys-life-insurance-bbdd-v1</t>
  </si>
  <si>
    <t xml:space="preserve">ms-sys-life-insurance-bbdd-v1-micros-app-configs</t>
  </si>
  <si>
    <t xml:space="preserve">artifactory.apps.devops.aws.bancsabadell.com/p4-virtual/p4cp/ms-sys-life-insurance-bbdd-v1:0.10.8</t>
  </si>
  <si>
    <t xml:space="preserve">ms-sys-life-insurance-bbdd-v1-p4ms</t>
  </si>
  <si>
    <t xml:space="preserve">http://repos.bancsabadell.com/bitbucket/scm/p4cp/ms-sys-life-insurance-bbdd-v1.git</t>
  </si>
  <si>
    <t xml:space="preserve">0.10.8</t>
  </si>
  <si>
    <t xml:space="preserve">https://kubernetes-dashboard.apps.pro.aws.bancsabadell.com/#/configmap/pro-ns-sys/ms-sys-life-insurance-bbdd-v1-micros-app-configs?namespace=pro-ns-sys</t>
  </si>
  <si>
    <t xml:space="preserve">ms-sys-c2csara-genesyscloud</t>
  </si>
  <si>
    <t xml:space="preserve">ms-sys-c2csara-genesyscloud-micros-app-configs</t>
  </si>
  <si>
    <t xml:space="preserve">artifactory.apps.devops.aws.bancsabadell.com/p4-virtual/c2csara/ms-sys-c2csara-genesyscloud:1.2.19</t>
  </si>
  <si>
    <t xml:space="preserve">ms-sys-c2csara-genesyscloud-p4ms</t>
  </si>
  <si>
    <t xml:space="preserve">http://repos.bancsabadell.com/bitbucket/scm/C2CSARA/ms-sys-c2csara-genesyscloud.git</t>
  </si>
  <si>
    <t xml:space="preserve">1.2.19</t>
  </si>
  <si>
    <t xml:space="preserve">1.2.22</t>
  </si>
  <si>
    <t xml:space="preserve">https://kubernetes-dashboard.apps.pro.aws.bancsabadell.com/#/configmap/pro-ns-sys/ms-sys-c2csara-genesyscloud-micros-app-configs?namespace=pro-ns-sys</t>
  </si>
  <si>
    <t xml:space="preserve">ms-sys-sales-product-agreement-system-pe-v1</t>
  </si>
  <si>
    <t xml:space="preserve">ms-sys-sales-product-agreement-system-pe-v1-micros-app-configs</t>
  </si>
  <si>
    <t xml:space="preserve">artifactory.apps.devops.aws.bancsabadell.com/p4-virtual/p4cp/ms-sys-sales-product-agreement-system-pe-v1:2.1.19</t>
  </si>
  <si>
    <t xml:space="preserve">ms-sys-sales-product-agreement-system-pe-v1-p4ms</t>
  </si>
  <si>
    <t xml:space="preserve">http://repos.bancsabadell.com/bitbucket/scm/p4cp/ms-sys-sales-product-agreement-system-pe-v1.git</t>
  </si>
  <si>
    <t xml:space="preserve">2.1.19</t>
  </si>
  <si>
    <t xml:space="preserve">https://kubernetes-dashboard.apps.pro.aws.bancsabadell.com/#/configmap/pro-ns-sys/ms-sys-sales-product-agreement-system-pe-v1-micros-app-configs?namespace=pro-ns-sys</t>
  </si>
  <si>
    <t xml:space="preserve">ms-openbanking-sys-aggregation</t>
  </si>
  <si>
    <t xml:space="preserve">ms-openbanking-sys-aggregation-micros-app-configs</t>
  </si>
  <si>
    <t xml:space="preserve">artifactory.apps.devops.aws.bancsabadell.com/p4-virtual/aisp/ms-openbanking-sys-aggregation:0.5.26</t>
  </si>
  <si>
    <t xml:space="preserve">ms-openbanking-sys-aggregation-p4ms</t>
  </si>
  <si>
    <t xml:space="preserve">hurbanos@emeal.nttdata.com</t>
  </si>
  <si>
    <t xml:space="preserve">http://repos.bancsabadell.com/bitbucket/scm/AISP/ms-openbanking-sys-aggregation.git</t>
  </si>
  <si>
    <t xml:space="preserve">0.5.26</t>
  </si>
  <si>
    <t xml:space="preserve">0.5.12</t>
  </si>
  <si>
    <t xml:space="preserve">https://kubernetes-dashboard.apps.pro.aws.bancsabadell.com/#/configmap/pro-ns-sys/ms-openbanking-sys-aggregation-micros-app-configs?namespace=pro-ns-sys</t>
  </si>
  <si>
    <t xml:space="preserve">ms-sys-360-report-generator</t>
  </si>
  <si>
    <t xml:space="preserve">ms-sys-360-report-generator-micros-py-configs</t>
  </si>
  <si>
    <t xml:space="preserve">artifactory.apps.devops.aws.bancsabadell.com/p4-virtual/ms-sys-360-report-generator:1.0.4</t>
  </si>
  <si>
    <t xml:space="preserve">ms-sys-360-report-generator-p4mspy</t>
  </si>
  <si>
    <t xml:space="preserve">http://repos.bancsabadell.com/bitbucket/scm/ESIAINFO360/ms-sys-360-report-generator.git</t>
  </si>
  <si>
    <t xml:space="preserve">https://kubernetes-dashboard.apps.pro.aws.bancsabadell.com/#/configmap/pro-ns-sys/ms-sys-360-report-generator-micros-py-configs?namespace=pro-ns-sys</t>
  </si>
  <si>
    <t xml:space="preserve">ms-openbanking-sys-terms</t>
  </si>
  <si>
    <t xml:space="preserve">ms-openbanking-sys-terms-micros-app-configs</t>
  </si>
  <si>
    <t xml:space="preserve">artifactory.apps.devops.aws.bancsabadell.com/p4-virtual/aisp/ms-openbanking-sys-terms:0.5.7</t>
  </si>
  <si>
    <t xml:space="preserve">ms-openbanking-sys-terms-p4ms</t>
  </si>
  <si>
    <t xml:space="preserve">http://repos.bancsabadell.com/bitbucket/scm/AISP/ms-openbanking-sys-terms.git</t>
  </si>
  <si>
    <t xml:space="preserve">0.5.5</t>
  </si>
  <si>
    <t xml:space="preserve">https://kubernetes-dashboard.apps.pro.aws.bancsabadell.com/#/configmap/pro-ns-sys/ms-openbanking-sys-terms-micros-app-configs?namespace=pro-ns-sys</t>
  </si>
  <si>
    <t xml:space="preserve">ms-sys-customer-product-and-service-eligibility-oa</t>
  </si>
  <si>
    <t xml:space="preserve">ms-sys-customer-product-and-service-eligibility-oa-micros-app-configs</t>
  </si>
  <si>
    <t xml:space="preserve">artifactory.apps.devops.aws.bancsabadell.com/p4-virtual/p4cp/ms-sys-customer-product-and-service-eligibility-oa:1.3.4</t>
  </si>
  <si>
    <t xml:space="preserve">ms-sys-customer-product-and-service-eligibility-oa-p4ms</t>
  </si>
  <si>
    <t xml:space="preserve">http://repos.bancsabadell.com/bitbucket/scm/P4CP/ms-sys-customer-product-and-service-eligibility-oa.git</t>
  </si>
  <si>
    <t xml:space="preserve">1.3.4</t>
  </si>
  <si>
    <t xml:space="preserve">https://kubernetes-dashboard.apps.pro.aws.bancsabadell.com/#/configmap/pro-ns-sys/ms-sys-customer-product-and-service-eligibility-oa-micros-app-configs?namespace=pro-ns-sys</t>
  </si>
  <si>
    <t xml:space="preserve">ms-sys-factoring-inblock-v1</t>
  </si>
  <si>
    <t xml:space="preserve">ms-sys-factoring-inblock-v1-micros-app-configs</t>
  </si>
  <si>
    <t xml:space="preserve">artifactory.apps.devops.aws.bancsabadell.com/p4-virtual/p4cp/ms-sys-factoring-inblock-v1:1.1.6</t>
  </si>
  <si>
    <t xml:space="preserve">ms-sys-factoring-inblock-v1-p4ms</t>
  </si>
  <si>
    <t xml:space="preserve">http://repos.bancsabadell.com/bitbucket/scm/P4CP/ms-sys-factoring-inblock-v1.git</t>
  </si>
  <si>
    <t xml:space="preserve">https://kubernetes-dashboard.apps.pro.aws.bancsabadell.com/#/configmap/pro-ns-sys/ms-sys-factoring-inblock-v1-micros-app-configs?namespace=pro-ns-sys</t>
  </si>
  <si>
    <t xml:space="preserve">ms-sys-connected-client-db</t>
  </si>
  <si>
    <t xml:space="preserve">ms-sys-connected-client-db-micros-app-configs</t>
  </si>
  <si>
    <t xml:space="preserve">artifactory.apps.devops.aws.bancsabadell.com/p4-virtual/essabconnectedclient/ms-sys-connected-client-db:1.1.3</t>
  </si>
  <si>
    <t xml:space="preserve">ms-sys-connected-client-db-p4ms</t>
  </si>
  <si>
    <t xml:space="preserve">http://repos.bancsabadell.com/bitbucket/scm/ESSABCONNECTEDCLIENT/ms-sys-connected-client-db.git</t>
  </si>
  <si>
    <t xml:space="preserve">https://kubernetes-dashboard.apps.pro.aws.bancsabadell.com/#/configmap/pro-ns-sys/ms-sys-connected-client-db-micros-app-configs?namespace=pro-ns-sys</t>
  </si>
  <si>
    <t xml:space="preserve">ns-baas</t>
  </si>
  <si>
    <t xml:space="preserve">ms-baas-bank-guarantee</t>
  </si>
  <si>
    <t xml:space="preserve">ms-baas-bank-guarantee-micros-app-configs</t>
  </si>
  <si>
    <t xml:space="preserve">artifactory.apps.devops.aws.bancsabadell.com/p4-virtual/p4cp/ms-baas-bank-guarantee:1.5.8</t>
  </si>
  <si>
    <t xml:space="preserve">ms-baas-bank-guarantee-p4ms</t>
  </si>
  <si>
    <t xml:space="preserve">http://repos.bancsabadell.com/bitbucket/scm/P4CP/ms-baas-bank-guarantee.git</t>
  </si>
  <si>
    <t xml:space="preserve">1.5.8</t>
  </si>
  <si>
    <t xml:space="preserve">https://kubernetes-dashboard.apps.pro.aws.bancsabadell.com/#/configmap/pro-ns-baas/ms-baas-bank-guarantee-micros-app-configs?namespace=pro-ns-baas</t>
  </si>
  <si>
    <t xml:space="preserve">ms-baas-factoring-v1</t>
  </si>
  <si>
    <t xml:space="preserve">ms-baas-factoring-v1-micros-app-configs</t>
  </si>
  <si>
    <t xml:space="preserve">artifactory.apps.devops.aws.bancsabadell.com/p4-virtual/p4cp/ms-baas-factoring-v1:1.1.4</t>
  </si>
  <si>
    <t xml:space="preserve">ms-baas-factoring-v1-p4ms</t>
  </si>
  <si>
    <t xml:space="preserve">http://repos.bancsabadell.com/bitbucket/scm/P4cp/ms-baas-factoring-v1.git</t>
  </si>
  <si>
    <t xml:space="preserve">3.2.3</t>
  </si>
  <si>
    <t xml:space="preserve">https://kubernetes-dashboard.apps.pro.aws.bancsabadell.com/#/configmap/pro-ns-baas/ms-baas-factoring-v1-micros-app-configs?namespace=pro-ns-baas</t>
  </si>
  <si>
    <t xml:space="preserve">ms-baas-regulatory-and-legal-authority-v2</t>
  </si>
  <si>
    <t xml:space="preserve">ms-baas-regulatory-and-legal-authority-v2-micros-app-configs</t>
  </si>
  <si>
    <t xml:space="preserve">artifactory.apps.devops.aws.bancsabadell.com/p4-virtual/poojj/ms-baas-regulatory-and-legal-authority-v2:1.2.3</t>
  </si>
  <si>
    <t xml:space="preserve">ms-baas-regulatory-and-legal-authority-v2-p4ms</t>
  </si>
  <si>
    <t xml:space="preserve">http://repos.bancsabadell.com/bitbucket/scm/POOJJ/ms-baas-regulatory-and-legal-authority-v2.git</t>
  </si>
  <si>
    <t xml:space="preserve">https://kubernetes-dashboard.apps.pro.aws.bancsabadell.com/#/configmap/pro-ns-baas/ms-baas-regulatory-and-legal-authority-v2-micros-app-configs?namespace=pro-ns-baas</t>
  </si>
  <si>
    <t xml:space="preserve">ms-baas-correspondence-outlook</t>
  </si>
  <si>
    <t xml:space="preserve">ms-baas-correspondence-outlook-micros-app-configs</t>
  </si>
  <si>
    <t xml:space="preserve">artifactory.apps.devops.aws.bancsabadell.com/p4-virtual/p4des/ms-baas-correspondence-outlook:1.4.5</t>
  </si>
  <si>
    <t xml:space="preserve">ms-baas-correspondence-outlook-p4ms</t>
  </si>
  <si>
    <t xml:space="preserve">molineroc@bancsabadell.com</t>
  </si>
  <si>
    <t xml:space="preserve">https://bitbucket.apps.devops.aws.bancsabadell.com/scm/p4des/ms-baas-correspondence-outlook.git</t>
  </si>
  <si>
    <t xml:space="preserve">1.4.4</t>
  </si>
  <si>
    <t xml:space="preserve">https://kubernetes-dashboard.apps.pro.aws.bancsabadell.com/#/configmap/pro-ns-baas/ms-baas-correspondence-outlook-micros-app-configs?namespace=pro-ns-baas</t>
  </si>
  <si>
    <t xml:space="preserve">ms-baas-jst-document-processing</t>
  </si>
  <si>
    <t xml:space="preserve">ms-baas-jst-document-processing-micros-app-configs</t>
  </si>
  <si>
    <t xml:space="preserve">artifactory.apps.devops.aws.bancsabadell.com/p4-virtual/p4cp/ms-baas-jst-document-processing:1.1.17</t>
  </si>
  <si>
    <t xml:space="preserve">ms-baas-jst-document-processing-p4ms</t>
  </si>
  <si>
    <t xml:space="preserve">http://repos.bancsabadell.com/bitbucket/scm/p4cp/ms-baas-jst-document-processing.git</t>
  </si>
  <si>
    <t xml:space="preserve">1.1.17</t>
  </si>
  <si>
    <t xml:space="preserve">https://kubernetes-dashboard.apps.pro.aws.bancsabadell.com/#/configmap/pro-ns-baas/ms-baas-jst-document-processing-micros-app-configs?namespace=pro-ns-baas</t>
  </si>
  <si>
    <t xml:space="preserve">ms-openbanking-baas-payments</t>
  </si>
  <si>
    <t xml:space="preserve">ms-openbanking-baas-payments-micros-app-configs</t>
  </si>
  <si>
    <t xml:space="preserve">artifactory.apps.devops.aws.bancsabadell.com/p4-virtual/pisp/ms-openbanking-baas-payments:0.5.19</t>
  </si>
  <si>
    <t xml:space="preserve">ms-openbanking-baas-payments-p4ms</t>
  </si>
  <si>
    <t xml:space="preserve">http://repos.bancsabadell.com/bitbucket/scm/PISP/ms-openbanking-baas-payments.git</t>
  </si>
  <si>
    <t xml:space="preserve">0.5.19</t>
  </si>
  <si>
    <t xml:space="preserve">https://kubernetes-dashboard.apps.pro.aws.bancsabadell.com/#/configmap/pro-ns-baas/ms-openbanking-baas-payments-micros-app-configs?namespace=pro-ns-baas</t>
  </si>
  <si>
    <t xml:space="preserve">ms-baas-employee-inbox</t>
  </si>
  <si>
    <t xml:space="preserve">ms-baas-employee-inbox-micros-app-configs</t>
  </si>
  <si>
    <t xml:space="preserve">artifactory.apps.devops.aws.bancsabadell.com/p4-virtual/coe/ms-baas-employee-inbox:1.2.14</t>
  </si>
  <si>
    <t xml:space="preserve">ms-baas-employee-inbox-p4ms</t>
  </si>
  <si>
    <t xml:space="preserve">ifernacu@emeal.nttdata.com</t>
  </si>
  <si>
    <t xml:space="preserve">http://repos.bancsabadell.com/bitbucket/scm/COE/ms-baas-employee-inbox.git</t>
  </si>
  <si>
    <t xml:space="preserve">https://kubernetes-dashboard.apps.pro.aws.bancsabadell.com/#/configmap/pro-ns-baas/ms-baas-employee-inbox-micros-app-configs?namespace=pro-ns-baas</t>
  </si>
  <si>
    <t xml:space="preserve">ms-baas-appointment-reference-data</t>
  </si>
  <si>
    <t xml:space="preserve">ms-baas-appointment-reference-data-micros-app-configs</t>
  </si>
  <si>
    <t xml:space="preserve">artifactory.apps.devops.aws.bancsabadell.com/p4-virtual/p4cp/ms-baas-appointment-reference-data:2.0.6</t>
  </si>
  <si>
    <t xml:space="preserve">ms-baas-appointment-reference-data-p4ms</t>
  </si>
  <si>
    <t xml:space="preserve">http://repos.bancsabadell.com/bitbucket/scm/P4CP/ms-baas-appointment-reference-data.git</t>
  </si>
  <si>
    <t xml:space="preserve">https://kubernetes-dashboard.apps.pro.aws.bancsabadell.com/#/configmap/pro-ns-baas/ms-baas-appointment-reference-data-micros-app-configs?namespace=pro-ns-baas</t>
  </si>
  <si>
    <t xml:space="preserve">ms-baas-party-reference-data-v3</t>
  </si>
  <si>
    <t xml:space="preserve">ms-baas-party-reference-data-v3-micros-app-configs</t>
  </si>
  <si>
    <t xml:space="preserve">artifactory.apps.devops.aws.bancsabadell.com/p4-virtual/p4cp/ms-baas-party-reference-data-v3:1.3.20</t>
  </si>
  <si>
    <t xml:space="preserve">ms-baas-party-reference-data-v3-p4ms</t>
  </si>
  <si>
    <t xml:space="preserve">http://repos.bancsabadell.com/bitbucket/scm/P4CP/ms-baas-party-reference-data-v3.git</t>
  </si>
  <si>
    <t xml:space="preserve">1.3.20</t>
  </si>
  <si>
    <t xml:space="preserve">https://kubernetes-dashboard.apps.pro.aws.bancsabadell.com/#/configmap/pro-ns-baas/ms-baas-party-reference-data-v3-micros-app-configs?namespace=pro-ns-baas</t>
  </si>
  <si>
    <t xml:space="preserve">ms-baas-payment-order-v1</t>
  </si>
  <si>
    <t xml:space="preserve">ms-baas-payment-order-v1-micros-app-configs</t>
  </si>
  <si>
    <t xml:space="preserve">artifactory.apps.devops.aws.bancsabadell.com/p4-virtual/p4cp/ms-baas-payment-order-v1:1.6.0</t>
  </si>
  <si>
    <t xml:space="preserve">ms-baas-payment-order-v1-p4ms</t>
  </si>
  <si>
    <t xml:space="preserve">http://repos.bancsabadell.com/bitbucket/scm/p4cp/ms-baas-payment-order-v1.git</t>
  </si>
  <si>
    <t xml:space="preserve">https://kubernetes-dashboard.apps.pro.aws.bancsabadell.com/#/configmap/pro-ns-baas/ms-baas-payment-order-v1-micros-app-configs?namespace=pro-ns-baas</t>
  </si>
  <si>
    <t xml:space="preserve">ms-baas-customer-access-entitlement-v1</t>
  </si>
  <si>
    <t xml:space="preserve">ms-baas-customer-access-entitlement-v1-micros-app-configs</t>
  </si>
  <si>
    <t xml:space="preserve">artifactory.apps.devops.aws.bancsabadell.com/p4-virtual/p4cp/ms-baas-customer-access-entitlement-v1:1.0.2</t>
  </si>
  <si>
    <t xml:space="preserve">ms-baas-customer-access-entitlement-v1-p4ms</t>
  </si>
  <si>
    <t xml:space="preserve">http://repos.bancsabadell.com/bitbucket/scm/P4CP/ms-baas-customer-access-entitlement-v1.git</t>
  </si>
  <si>
    <t xml:space="preserve">https://kubernetes-dashboard.apps.pro.aws.bancsabadell.com/#/configmap/pro-ns-baas/ms-baas-customer-access-entitlement-v1-micros-app-configs?namespace=pro-ns-baas</t>
  </si>
  <si>
    <t xml:space="preserve">ms-baas-insurance-v1</t>
  </si>
  <si>
    <t xml:space="preserve">ms-baas-insurance-v1-micros-app-configs</t>
  </si>
  <si>
    <t xml:space="preserve">artifactory.apps.devops.aws.bancsabadell.com/p4-virtual/mobi/ms-baas-insurance-v1:1.3.1</t>
  </si>
  <si>
    <t xml:space="preserve">ms-baas-insurance-v1-p4ms</t>
  </si>
  <si>
    <t xml:space="preserve">http://repos.bancsabadell.com/bitbucket/scm/MOBI/ms-baas-insurance-v1.git</t>
  </si>
  <si>
    <t xml:space="preserve">https://kubernetes-dashboard.apps.pro.aws.bancsabadell.com/#/configmap/pro-ns-baas/ms-baas-insurance-v1-micros-app-configs?namespace=pro-ns-baas</t>
  </si>
  <si>
    <t xml:space="preserve">ms-baas-special-pricing-conditions</t>
  </si>
  <si>
    <t xml:space="preserve">ms-baas-special-pricing-conditions-micros-app-configs</t>
  </si>
  <si>
    <t xml:space="preserve">artifactory.apps.devops.aws.bancsabadell.com/p4-virtual/just_raroc/ms-baas-special-pricing-conditions:0.8.22</t>
  </si>
  <si>
    <t xml:space="preserve">ms-baas-special-pricing-conditions-p4ms</t>
  </si>
  <si>
    <t xml:space="preserve">hector.urbanos.martinez</t>
  </si>
  <si>
    <t xml:space="preserve">http://repos.bancsabadell.com/bitbucket/scm/JUST_RAROC/ms-baas-special-pricing-conditions.git</t>
  </si>
  <si>
    <t xml:space="preserve">0.8.22</t>
  </si>
  <si>
    <t xml:space="preserve">https://kubernetes-dashboard.apps.pro.aws.bancsabadell.com/#/configmap/pro-ns-baas/ms-baas-special-pricing-conditions-micros-app-configs?namespace=pro-ns-baas</t>
  </si>
  <si>
    <t xml:space="preserve">ms-baas-life-insurance-v1</t>
  </si>
  <si>
    <t xml:space="preserve">ms-baas-life-insurance-v1-micros-app-configs</t>
  </si>
  <si>
    <t xml:space="preserve">artifactory.apps.devops.aws.bancsabadell.com/p4-virtual/p4cp/ms-baas-life-insurance-v1:0.5.7</t>
  </si>
  <si>
    <t xml:space="preserve">ms-baas-life-insurance-v1-p4ms</t>
  </si>
  <si>
    <t xml:space="preserve">http://repos.bancsabadell.com/bitbucket/scm/P4CP/ms-baas-life-insurance-v1.git</t>
  </si>
  <si>
    <t xml:space="preserve">https://kubernetes-dashboard.apps.pro.aws.bancsabadell.com/#/configmap/pro-ns-baas/ms-baas-life-insurance-v1-micros-app-configs?namespace=pro-ns-baas</t>
  </si>
  <si>
    <t xml:space="preserve">ms-baas-ccf</t>
  </si>
  <si>
    <t xml:space="preserve">ms-baas-ccf-micros-app-configs</t>
  </si>
  <si>
    <t xml:space="preserve">artifactory.apps.devops.aws.bancsabadell.com/p4-virtual/p4cp/ms-baas-ccf:2.0.2</t>
  </si>
  <si>
    <t xml:space="preserve">ms-baas-ccf-p4ms</t>
  </si>
  <si>
    <t xml:space="preserve">jaryab.shakeel.khan@accenture.com</t>
  </si>
  <si>
    <t xml:space="preserve">http://repos.bancsabadell.com/bitbucket/scm/P4CP/ms-baas-ccf.git</t>
  </si>
  <si>
    <t xml:space="preserve">https://kubernetes-dashboard.apps.pro.aws.bancsabadell.com/#/configmap/pro-ns-baas/ms-baas-ccf-micros-app-configs?namespace=pro-ns-baas</t>
  </si>
  <si>
    <t xml:space="preserve">ms-baas-card-case-digital</t>
  </si>
  <si>
    <t xml:space="preserve">ms-baas-card-case-digital-micros-app-configs</t>
  </si>
  <si>
    <t xml:space="preserve">artifactory.apps.devops.aws.bancsabadell.com/p4-virtual/p4cp/ms-baas-card-case-digital:1.2.6</t>
  </si>
  <si>
    <t xml:space="preserve">ms-baas-card-case-digital-p4ms</t>
  </si>
  <si>
    <t xml:space="preserve">http://repos.bancsabadell.com/bitbucket/scm/P4CP/ms-baas-card-case-digital.git</t>
  </si>
  <si>
    <t xml:space="preserve">https://kubernetes-dashboard.apps.pro.aws.bancsabadell.com/#/configmap/pro-ns-baas/ms-baas-card-case-digital-micros-app-configs?namespace=pro-ns-baas</t>
  </si>
  <si>
    <t xml:space="preserve">ms-baas-consumer-credit-facility-v1</t>
  </si>
  <si>
    <t xml:space="preserve">ms-baas-consumer-credit-facility-v1-micros-app-configs</t>
  </si>
  <si>
    <t xml:space="preserve">artifactory.apps.devops.aws.bancsabadell.com/p4-virtual/mobi/ms-baas-consumer-credit-facility-v1:1.2.1</t>
  </si>
  <si>
    <t xml:space="preserve">ms-baas-consumer-credit-facility-v1-p4ms</t>
  </si>
  <si>
    <t xml:space="preserve">http://repos.bancsabadell.com/bitbucket/scm/MOBI/ms-baas-consumer-credit-facility-v1.git</t>
  </si>
  <si>
    <t xml:space="preserve">https://kubernetes-dashboard.apps.pro.aws.bancsabadell.com/#/configmap/pro-ns-baas/ms-baas-consumer-credit-facility-v1-micros-app-configs?namespace=pro-ns-baas</t>
  </si>
  <si>
    <t xml:space="preserve">ms-baas-card-v3</t>
  </si>
  <si>
    <t xml:space="preserve">ms-baas-card-v3-micros-app-configs</t>
  </si>
  <si>
    <t xml:space="preserve">artifactory.apps.devops.aws.bancsabadell.com/p4-virtual/p4cp/ms-baas-card-v3:1.0.9</t>
  </si>
  <si>
    <t xml:space="preserve">ms-baas-card-v3-p4ms</t>
  </si>
  <si>
    <t xml:space="preserve">http://repos.bancsabadell.com/bitbucket/scm/P4CP/ms-baas-card-v3.git</t>
  </si>
  <si>
    <t xml:space="preserve">https://kubernetes-dashboard.apps.pro.aws.bancsabadell.com/#/configmap/pro-ns-baas/ms-baas-card-v3-micros-app-configs?namespace=pro-ns-baas</t>
  </si>
  <si>
    <t xml:space="preserve">ms-baas-customer-tax-handling-v1</t>
  </si>
  <si>
    <t xml:space="preserve">ms-baas-customer-tax-handling-v1-micros-app-configs</t>
  </si>
  <si>
    <t xml:space="preserve">artifactory.apps.devops.aws.bancsabadell.com/p4-virtual/p4cp/ms-baas-customer-tax-handling-v1:2.1.0</t>
  </si>
  <si>
    <t xml:space="preserve">ms-baas-customer-tax-handling-v1-p4ms</t>
  </si>
  <si>
    <t xml:space="preserve">http://repos.bancsabadell.com/bitbucket/scm/P4CP/ms-baas-customer-tax-handling-v1.git</t>
  </si>
  <si>
    <t xml:space="preserve">https://kubernetes-dashboard.apps.pro.aws.bancsabadell.com/#/configmap/pro-ns-baas/ms-baas-customer-tax-handling-v1-micros-app-configs?namespace=pro-ns-baas</t>
  </si>
  <si>
    <t xml:space="preserve">ms-baas-card-financial-settlement-v2</t>
  </si>
  <si>
    <t xml:space="preserve">ms-baas-card-financial-settlement-v2-micros-app-configs</t>
  </si>
  <si>
    <t xml:space="preserve">artifactory.apps.devops.aws.bancsabadell.com/p4-virtual/p4cp/ms-baas-card-financial-settlement-v2:1.0.18</t>
  </si>
  <si>
    <t xml:space="preserve">ms-baas-card-financial-settlement-v2-p4ms</t>
  </si>
  <si>
    <t xml:space="preserve">fralvarez@minsait.com</t>
  </si>
  <si>
    <t xml:space="preserve">http://repos.bancsabadell.com/bitbucket/scm/P4CP/ms-baas-card-financial-settlement-v2.git</t>
  </si>
  <si>
    <t xml:space="preserve">https://kubernetes-dashboard.apps.pro.aws.bancsabadell.com/#/configmap/pro-ns-baas/ms-baas-card-financial-settlement-v2-micros-app-configs?namespace=pro-ns-baas</t>
  </si>
  <si>
    <t xml:space="preserve">ms-baas-users</t>
  </si>
  <si>
    <t xml:space="preserve">ms-baas-users-micros-app-configs</t>
  </si>
  <si>
    <t xml:space="preserve">artifactory.apps.devops.aws.bancsabadell.com/p4-virtual/p4des/ms-baas-users:1.7.3</t>
  </si>
  <si>
    <t xml:space="preserve">ms-baas-users-p4ms</t>
  </si>
  <si>
    <t xml:space="preserve">aflores@inno-it.es</t>
  </si>
  <si>
    <t xml:space="preserve">https://bitbucket.apps.devops.aws.bancsabadell.com/scm/P4DES/ms-baas-users.git</t>
  </si>
  <si>
    <t xml:space="preserve">1.7.3</t>
  </si>
  <si>
    <t xml:space="preserve">https://kubernetes-dashboard.apps.pro.aws.bancsabadell.com/#/configmap/pro-ns-baas/ms-baas-users-micros-app-configs?namespace=pro-ns-baas</t>
  </si>
  <si>
    <t xml:space="preserve">ms-baas-card-position-keeping-extended-v1</t>
  </si>
  <si>
    <t xml:space="preserve">ms-baas-card-position-keeping-extended-v1-micros-app-configs</t>
  </si>
  <si>
    <t xml:space="preserve">artifactory.apps.devops.aws.bancsabadell.com/p4-virtual/p4cp/ms-baas-card-position-keeping-extended-v1:1.1.3</t>
  </si>
  <si>
    <t xml:space="preserve">ms-baas-card-position-keeping-extended-v1-p4ms</t>
  </si>
  <si>
    <t xml:space="preserve">http://repos.bancsabadell.com/bitbucket/scm/P4CP/ms-baas-card-position-keeping-extended-v1.git</t>
  </si>
  <si>
    <t xml:space="preserve">https://kubernetes-dashboard.apps.pro.aws.bancsabadell.com/#/configmap/pro-ns-baas/ms-baas-card-position-keeping-extended-v1-micros-app-configs?namespace=pro-ns-baas</t>
  </si>
  <si>
    <t xml:space="preserve">ms-baas-fraud-evaluation</t>
  </si>
  <si>
    <t xml:space="preserve">ms-baas-fraud-evaluation-micros-app-configs</t>
  </si>
  <si>
    <t xml:space="preserve">artifactory.apps.devops.aws.bancsabadell.com/p4-virtual/essabphishing/ms-baas-fraud-evaluation:1.0.4</t>
  </si>
  <si>
    <t xml:space="preserve">ms-baas-fraud-evaluation-p4ms</t>
  </si>
  <si>
    <t xml:space="preserve">http://repos.bancsabadell.com/bitbucket/scm/ESSABPHISHING/ms-baas-fraud-evaluation.git</t>
  </si>
  <si>
    <t xml:space="preserve">https://kubernetes-dashboard.apps.pro.aws.bancsabadell.com/#/configmap/pro-ns-baas/ms-baas-fraud-evaluation-micros-app-configs?namespace=pro-ns-baas</t>
  </si>
  <si>
    <t xml:space="preserve">ms-baas-etrading-workbench</t>
  </si>
  <si>
    <t xml:space="preserve">ms-baas-etrading-workbench-micros-app-configs</t>
  </si>
  <si>
    <t xml:space="preserve">artifactory.apps.devops.aws.bancsabadell.com/p4-virtual/vs/ms-baas-etrading-workbench:1.3.12</t>
  </si>
  <si>
    <t xml:space="preserve">ms-baas-etrading-workbench-p4ms</t>
  </si>
  <si>
    <t xml:space="preserve">slaradem@nttdata.com</t>
  </si>
  <si>
    <t xml:space="preserve">http://repos.bancsabadell.com/bitbucket/scm/VS/ms-baas-etrading-workbench.git</t>
  </si>
  <si>
    <t xml:space="preserve">1.3.12</t>
  </si>
  <si>
    <t xml:space="preserve">https://kubernetes-dashboard.apps.pro.aws.bancsabadell.com/#/configmap/pro-ns-baas/ms-baas-etrading-workbench-micros-app-configs?namespace=pro-ns-baas</t>
  </si>
  <si>
    <t xml:space="preserve">ms-baas-servicenow-menudesa</t>
  </si>
  <si>
    <t xml:space="preserve">ms-baas-servicenow-menudesa-micros-app-configs</t>
  </si>
  <si>
    <t xml:space="preserve">artifactory.apps.devops.aws.bancsabadell.com/p4-virtual/endpointservicenowmenudesa/ms-baas-servicenow-menudesa:2.1.0</t>
  </si>
  <si>
    <t xml:space="preserve">ms-baas-servicenow-menudesa-p4ms</t>
  </si>
  <si>
    <t xml:space="preserve">http://repos.bancsabadell.com/bitbucket/scm/ENDPOINTSERVICENOWMENUDESA/ms-baas-servicenow-menudesa.git</t>
  </si>
  <si>
    <t xml:space="preserve">https://kubernetes-dashboard.apps.pro.aws.bancsabadell.com/#/configmap/pro-ns-baas/ms-baas-servicenow-menudesa-micros-app-configs?namespace=pro-ns-baas</t>
  </si>
  <si>
    <t xml:space="preserve">ms-baas-correspondence-v3</t>
  </si>
  <si>
    <t xml:space="preserve">ms-baas-correspondence-v3-micros-app-configs</t>
  </si>
  <si>
    <t xml:space="preserve">artifactory.apps.devops.aws.bancsabadell.com/p4-virtual/p4cp/ms-baas-correspondence-v3:1.0.9</t>
  </si>
  <si>
    <t xml:space="preserve">ms-baas-correspondence-v3-p4ms</t>
  </si>
  <si>
    <t xml:space="preserve">http://repos.bancsabadell.com/bitbucket/scm/p4cp/ms-baas-correspondence-v3.git</t>
  </si>
  <si>
    <t xml:space="preserve">https://kubernetes-dashboard.apps.pro.aws.bancsabadell.com/#/configmap/pro-ns-baas/ms-baas-correspondence-v3-micros-app-configs?namespace=pro-ns-baas</t>
  </si>
  <si>
    <t xml:space="preserve">ms-baas-pccm</t>
  </si>
  <si>
    <t xml:space="preserve">ms-baas-pccm-micros-app-configs</t>
  </si>
  <si>
    <t xml:space="preserve">artifactory.apps.devops.aws.bancsabadell.com/p4-virtual/pccm/ms-baas-pccm:1.1.4</t>
  </si>
  <si>
    <t xml:space="preserve">ms-baas-pccm-p4ms</t>
  </si>
  <si>
    <t xml:space="preserve">http://repos.bancsabadell.com/bitbucket/scm/PCCM/ms-baas-pccm.git</t>
  </si>
  <si>
    <t xml:space="preserve">https://kubernetes-dashboard.apps.pro.aws.bancsabadell.com/#/configmap/pro-ns-baas/ms-baas-pccm-micros-app-configs?namespace=pro-ns-baas</t>
  </si>
  <si>
    <t xml:space="preserve">ms-baas-card-v2</t>
  </si>
  <si>
    <t xml:space="preserve">ms-baas-card-v2-micros-app-configs</t>
  </si>
  <si>
    <t xml:space="preserve">artifactory.apps.devops.aws.bancsabadell.com/p4-virtual/p4cp/ms-baas-card-v2:4.6.15</t>
  </si>
  <si>
    <t xml:space="preserve">ms-baas-card-v2-p4ms</t>
  </si>
  <si>
    <t xml:space="preserve">cjvillamil@indracompany.com</t>
  </si>
  <si>
    <t xml:space="preserve">http://repos.bancsabadell.com/bitbucket/scm/P4CP/ms-baas-card-v2.git</t>
  </si>
  <si>
    <t xml:space="preserve">4.6.15</t>
  </si>
  <si>
    <t xml:space="preserve">https://kubernetes-dashboard.apps.pro.aws.bancsabadell.com/#/configmap/pro-ns-baas/ms-baas-card-v2-micros-app-configs?namespace=pro-ns-baas</t>
  </si>
  <si>
    <t xml:space="preserve">ms-baas-financial-products-v1</t>
  </si>
  <si>
    <t xml:space="preserve">ms-baas-financial-products-v1-micros-app-configs</t>
  </si>
  <si>
    <t xml:space="preserve">artifactory.apps.devops.aws.bancsabadell.com/p4-virtual/mobi/ms-baas-financial-products-v1:1.3.2</t>
  </si>
  <si>
    <t xml:space="preserve">ms-baas-financial-products-v1-p4ms</t>
  </si>
  <si>
    <t xml:space="preserve">http://repos.bancsabadell.com/bitbucket/scm/MOBI/ms-baas-financial-products-v1.git</t>
  </si>
  <si>
    <t xml:space="preserve">https://kubernetes-dashboard.apps.pro.aws.bancsabadell.com/#/configmap/pro-ns-baas/ms-baas-financial-products-v1-micros-app-configs?namespace=pro-ns-baas</t>
  </si>
  <si>
    <t xml:space="preserve">ms-baas-customer-relationship-management</t>
  </si>
  <si>
    <t xml:space="preserve">ms-baas-customer-relationship-management-micros-app-configs</t>
  </si>
  <si>
    <t xml:space="preserve">artifactory.apps.devops.aws.bancsabadell.com/p4-virtual/p4cp/ms-baas-customer-relationship-management:1.0.3</t>
  </si>
  <si>
    <t xml:space="preserve">ms-baas-customer-relationship-management-p4ms</t>
  </si>
  <si>
    <t xml:space="preserve">http://repos.bancsabadell.com/bitbucket/scm/p4cp/ms-baas-customer-relationship-management.git</t>
  </si>
  <si>
    <t xml:space="preserve">https://kubernetes-dashboard.apps.pro.aws.bancsabadell.com/#/configmap/pro-ns-baas/ms-baas-customer-relationship-management-micros-app-configs?namespace=pro-ns-baas</t>
  </si>
  <si>
    <t xml:space="preserve">ms-baas-consumer-loan-v1</t>
  </si>
  <si>
    <t xml:space="preserve">ms-baas-consumer-loan-v1-micros-app-configs</t>
  </si>
  <si>
    <t xml:space="preserve">artifactory.apps.devops.aws.bancsabadell.com/p4-virtual/p4cp/ms-baas-consumer-loan-v1:2.0.6</t>
  </si>
  <si>
    <t xml:space="preserve">ms-baas-consumer-loan-v1-p4ms</t>
  </si>
  <si>
    <t xml:space="preserve">http://repos.bancsabadell.com/bitbucket/scm/P4CP/ms-baas-consumer-loan-v1.git</t>
  </si>
  <si>
    <t xml:space="preserve">https://kubernetes-dashboard.apps.pro.aws.bancsabadell.com/#/configmap/pro-ns-baas/ms-baas-consumer-loan-v1-micros-app-configs?namespace=pro-ns-baas</t>
  </si>
  <si>
    <t xml:space="preserve">ms-baas-aeat2bs</t>
  </si>
  <si>
    <t xml:space="preserve">ms-baas-aeat2bs-micros-app-configs</t>
  </si>
  <si>
    <t xml:space="preserve">artifactory.apps.devops.aws.bancsabadell.com/p4-virtual/esic/ms-baas-aeat2bs:2.2.5</t>
  </si>
  <si>
    <t xml:space="preserve">ms-baas-aeat2bs-p4ms</t>
  </si>
  <si>
    <t xml:space="preserve">saul.azcano.valdes@accenture.com</t>
  </si>
  <si>
    <t xml:space="preserve">http://repos.bancsabadell.com/bitbucket/scm/ESIC/ms-baas-aeat2bs.git</t>
  </si>
  <si>
    <t xml:space="preserve">2.2.5</t>
  </si>
  <si>
    <t xml:space="preserve">https://kubernetes-dashboard.apps.pro.aws.bancsabadell.com/#/configmap/pro-ns-baas/ms-baas-aeat2bs-micros-app-configs?namespace=pro-ns-baas</t>
  </si>
  <si>
    <t xml:space="preserve">ms-baas-direct-debit-v1</t>
  </si>
  <si>
    <t xml:space="preserve">ms-baas-direct-debit-v1-micros-app-configs</t>
  </si>
  <si>
    <t xml:space="preserve">artifactory.apps.devops.aws.bancsabadell.com/p4-virtual/mobi/ms-baas-direct-debit-v1:1.1.0</t>
  </si>
  <si>
    <t xml:space="preserve">ms-baas-direct-debit-v1-p4ms</t>
  </si>
  <si>
    <t xml:space="preserve">http://repos.bancsabadell.com/bitbucket/scm/MOBI/ms-baas-direct-debit-v1.git</t>
  </si>
  <si>
    <t xml:space="preserve">https://kubernetes-dashboard.apps.pro.aws.bancsabadell.com/#/configmap/pro-ns-baas/ms-baas-direct-debit-v1-micros-app-configs?namespace=pro-ns-baas</t>
  </si>
  <si>
    <t xml:space="preserve">ms-baas-scf-packaging</t>
  </si>
  <si>
    <t xml:space="preserve">ms-baas-scf-packaging-micros-app-configs</t>
  </si>
  <si>
    <t xml:space="preserve">artifactory.apps.devops.aws.bancsabadell.com/p4-virtual/p4cp/ms-baas-scf-packaging:1.1.38</t>
  </si>
  <si>
    <t xml:space="preserve">ms-baas-scf-packaging-p4ms</t>
  </si>
  <si>
    <t xml:space="preserve">http://repos.bancsabadell.com/bitbucket/scm/p4cp/ms-baas-scf-packaging.git</t>
  </si>
  <si>
    <t xml:space="preserve">1.1.38</t>
  </si>
  <si>
    <t xml:space="preserve">https://kubernetes-dashboard.apps.pro.aws.bancsabadell.com/#/configmap/pro-ns-baas/ms-baas-scf-packaging-micros-app-configs?namespace=pro-ns-baas</t>
  </si>
  <si>
    <t xml:space="preserve">ms-openbanking-baas-globalposition</t>
  </si>
  <si>
    <t xml:space="preserve">ms-openbanking-baas-globalposition-micros-app-configs</t>
  </si>
  <si>
    <t xml:space="preserve">artifactory.apps.devops.aws.bancsabadell.com/p4-virtual/aisp/ms-openbanking-baas-globalposition:0.5.23</t>
  </si>
  <si>
    <t xml:space="preserve">ms-openbanking-baas-globalposition-p4ms</t>
  </si>
  <si>
    <t xml:space="preserve">http://repos.bancsabadell.com/bitbucket/scm/AISP/ms-openbanking-baas-globalposition.git</t>
  </si>
  <si>
    <t xml:space="preserve">0.5.23</t>
  </si>
  <si>
    <t xml:space="preserve">https://kubernetes-dashboard.apps.pro.aws.bancsabadell.com/#/configmap/pro-ns-baas/ms-openbanking-baas-globalposition-micros-app-configs?namespace=pro-ns-baas</t>
  </si>
  <si>
    <t xml:space="preserve">ms-baas-correos-cash-v1</t>
  </si>
  <si>
    <t xml:space="preserve">ms-baas-correos-cash-v1-micros-app-configs</t>
  </si>
  <si>
    <t xml:space="preserve">artifactory.apps.devops.aws.bancsabadell.com/p4-virtual/api-sincertif/ms-baas-correos-cash-v1:0.1.12</t>
  </si>
  <si>
    <t xml:space="preserve">ms-baas-correos-cash-v1-p4ms</t>
  </si>
  <si>
    <t xml:space="preserve">http://repos.bancsabadell.com/bitbucket/scm/API-SINCERTIF/ms-baas-correos-cash-v1.git</t>
  </si>
  <si>
    <t xml:space="preserve">https://kubernetes-dashboard.apps.pro.aws.bancsabadell.com/#/configmap/pro-ns-baas/ms-baas-correos-cash-v1-micros-app-configs?namespace=pro-ns-baas</t>
  </si>
  <si>
    <t xml:space="preserve">ms-baas-remote-office</t>
  </si>
  <si>
    <t xml:space="preserve">ms-baas-remote-office-micros-app-configs</t>
  </si>
  <si>
    <t xml:space="preserve">artifactory.apps.devops.aws.bancsabadell.com/p4-virtual/ofre/ms-baas-remote-office:0.2.8</t>
  </si>
  <si>
    <t xml:space="preserve">ms-baas-remote-office-p4ms</t>
  </si>
  <si>
    <t xml:space="preserve">http://repos.bancsabadell.com/bitbucket/scm/OFRE/ms-baas-remote-office-v0.git</t>
  </si>
  <si>
    <t xml:space="preserve">https://kubernetes-dashboard.apps.pro.aws.bancsabadell.com/#/configmap/pro-ns-baas/ms-baas-remote-office-micros-app-configs?namespace=pro-ns-baas</t>
  </si>
  <si>
    <t xml:space="preserve">ms-baas-credit-facility-online-pr</t>
  </si>
  <si>
    <t xml:space="preserve">ms-baas-credit-facility-online-pr-micros-app-configs</t>
  </si>
  <si>
    <t xml:space="preserve">artifactory.apps.devops.aws.bancsabadell.com/p4-virtual/p4cp/ms-baas-credit-facility-online-pr:1.2.8</t>
  </si>
  <si>
    <t xml:space="preserve">ms-baas-credit-facility-online-pr-p4ms</t>
  </si>
  <si>
    <t xml:space="preserve">http://repos.bancsabadell.com/bitbucket/scm/P4CP/ms-baas-credit-facility-online-pr.git</t>
  </si>
  <si>
    <t xml:space="preserve">1.2.8</t>
  </si>
  <si>
    <t xml:space="preserve">https://kubernetes-dashboard.apps.pro.aws.bancsabadell.com/#/configmap/pro-ns-baas/ms-baas-credit-facility-online-pr-micros-app-configs?namespace=pro-ns-baas</t>
  </si>
  <si>
    <t xml:space="preserve">ms-baas-investment-account-v1</t>
  </si>
  <si>
    <t xml:space="preserve">ms-baas-investment-account-v1-micros-app-configs</t>
  </si>
  <si>
    <t xml:space="preserve">artifactory.apps.devops.aws.bancsabadell.com/p4-virtual/mobi/ms-baas-investment-account-v1:1.1.0</t>
  </si>
  <si>
    <t xml:space="preserve">ms-baas-investment-account-v1-p4ms</t>
  </si>
  <si>
    <t xml:space="preserve">http://repos.bancsabadell.com/bitbucket/scm/MOBI/ms-baas-investment-account-v1.git</t>
  </si>
  <si>
    <t xml:space="preserve">https://kubernetes-dashboard.apps.pro.aws.bancsabadell.com/#/configmap/pro-ns-baas/ms-baas-investment-account-v1-micros-app-configs?namespace=pro-ns-baas</t>
  </si>
  <si>
    <t xml:space="preserve">ms-baas-svexpressconsentupdate</t>
  </si>
  <si>
    <t xml:space="preserve">ms-baas-svexpressconsentupdate-micros-app-configs</t>
  </si>
  <si>
    <t xml:space="preserve">artifactory.apps.devops.aws.bancsabadell.com/p4-virtual/p4cp/ms-baas-svexpressconsentupdate:0.2.2</t>
  </si>
  <si>
    <t xml:space="preserve">ms-baas-svexpressconsentupdate-p4ms</t>
  </si>
  <si>
    <t xml:space="preserve">http://repos.bancsabadell.com/bitbucket/scm/P4CP/ms-baas-svexpressconsentupdate.git</t>
  </si>
  <si>
    <t xml:space="preserve">https://kubernetes-dashboard.apps.pro.aws.bancsabadell.com/#/configmap/pro-ns-baas/ms-baas-svexpressconsentupdate-micros-app-configs?namespace=pro-ns-baas</t>
  </si>
  <si>
    <t xml:space="preserve">ms-baas-svexpressconsentquery</t>
  </si>
  <si>
    <t xml:space="preserve">ms-baas-svexpressconsentquery-micros-app-configs</t>
  </si>
  <si>
    <t xml:space="preserve">artifactory.apps.devops.aws.bancsabadell.com/p4-virtual/p4cp/ms-baas-svexpressconsentquery:0.2.0</t>
  </si>
  <si>
    <t xml:space="preserve">ms-baas-svexpressconsentquery-p4ms</t>
  </si>
  <si>
    <t xml:space="preserve">http://repos.bancsabadell.com/bitbucket/scm/P4CP/ms-baas-svexpressconsentquery.git</t>
  </si>
  <si>
    <t xml:space="preserve">https://kubernetes-dashboard.apps.pro.aws.bancsabadell.com/#/configmap/pro-ns-baas/ms-baas-svexpressconsentquery-micros-app-configs?namespace=pro-ns-baas</t>
  </si>
  <si>
    <t xml:space="preserve">ms-baas-c2c-validation</t>
  </si>
  <si>
    <t xml:space="preserve">ms-baas-c2c-validation-micros-app-configs</t>
  </si>
  <si>
    <t xml:space="preserve">artifactory.apps.devops.aws.bancsabadell.com/p4-virtual/estc/ms-baas-c2c-validation:0.1.17</t>
  </si>
  <si>
    <t xml:space="preserve">ms-baas-c2c-validation-p4ms</t>
  </si>
  <si>
    <t xml:space="preserve">shreya.aren@accenture.com</t>
  </si>
  <si>
    <t xml:space="preserve">http://repos.bancsabadell.com/bitbucket/scm/ESTC/ms-baas-c2c-validation.git</t>
  </si>
  <si>
    <t xml:space="preserve">0.1.17</t>
  </si>
  <si>
    <t xml:space="preserve">https://kubernetes-dashboard.apps.pro.aws.bancsabadell.com/#/configmap/pro-ns-baas/ms-baas-c2c-validation-micros-app-configs?namespace=pro-ns-baas</t>
  </si>
  <si>
    <t xml:space="preserve">ms-baas-tjmovilpinrecovery</t>
  </si>
  <si>
    <t xml:space="preserve">ms-baas-tjmovilpinrecovery-micros-app-configs</t>
  </si>
  <si>
    <t xml:space="preserve">artifactory.apps.devops.aws.bancsabadell.com/p4-virtual/p4cp/ms-baas-tjmovilpinrecovery:0.2.7</t>
  </si>
  <si>
    <t xml:space="preserve">ms-baas-tjmovilpinrecovery-p4ms</t>
  </si>
  <si>
    <t xml:space="preserve">http://repos.bancsabadell.com/bitbucket/scm/P4CP/ms-baas-tjmovilpinrecovery.git</t>
  </si>
  <si>
    <t xml:space="preserve">https://kubernetes-dashboard.apps.pro.aws.bancsabadell.com/#/configmap/pro-ns-baas/ms-baas-tjmovilpinrecovery-micros-app-configs?namespace=pro-ns-baas</t>
  </si>
  <si>
    <t xml:space="preserve">ms-baas-customer-relationship-management-msg-v1</t>
  </si>
  <si>
    <t xml:space="preserve">ms-baas-customer-relationship-management-msg-v1-micros-app-configs</t>
  </si>
  <si>
    <t xml:space="preserve">artifactory.apps.devops.aws.bancsabadell.com/p4-virtual/p4cp/ms-baas-customer-relationship-management-msg-v1:2.0.7</t>
  </si>
  <si>
    <t xml:space="preserve">ms-baas-customer-relationship-management-msg-v1-p4ms</t>
  </si>
  <si>
    <t xml:space="preserve">http://repos.bancsabadell.com/bitbucket/scm/p4cp/ms-baas-customer-relationship-management-msg-v1.git</t>
  </si>
  <si>
    <t xml:space="preserve">0.1.16</t>
  </si>
  <si>
    <t xml:space="preserve">https://kubernetes-dashboard.apps.pro.aws.bancsabadell.com/#/configmap/pro-ns-baas/ms-baas-customer-relationship-management-msg-v1-micros-app-configs?namespace=pro-ns-baas</t>
  </si>
  <si>
    <t xml:space="preserve">ms-baas-accounts-receivable</t>
  </si>
  <si>
    <t xml:space="preserve">ms-baas-accounts-receivable-micros-app-configs</t>
  </si>
  <si>
    <t xml:space="preserve">artifactory.apps.devops.aws.bancsabadell.com/p4-virtual/p4cp/ms-baas-accounts-receivable:1.2.6</t>
  </si>
  <si>
    <t xml:space="preserve">ms-baas-accounts-receivable-p4ms</t>
  </si>
  <si>
    <t xml:space="preserve">http://repos.bancsabadell.com/bitbucket/scm/p4cp/ms-baas-accounts-receivable.git</t>
  </si>
  <si>
    <t xml:space="preserve">https://kubernetes-dashboard.apps.pro.aws.bancsabadell.com/#/configmap/pro-ns-baas/ms-baas-accounts-receivable-micros-app-configs?namespace=pro-ns-baas</t>
  </si>
  <si>
    <t xml:space="preserve">ms-baas-factoring-inblock-v1</t>
  </si>
  <si>
    <t xml:space="preserve">ms-baas-factoring-inblock-v1-micros-app-configs</t>
  </si>
  <si>
    <t xml:space="preserve">artifactory.apps.devops.aws.bancsabadell.com/p4-virtual/p4cp/ms-baas-factoring-inblock-v1:1.0.9</t>
  </si>
  <si>
    <t xml:space="preserve">ms-baas-factoring-inblock-v1-p4ms</t>
  </si>
  <si>
    <t xml:space="preserve">http://repos.bancsabadell.com/bitbucket/scm/P4CP/ms-baas-factoring-inblock-v1.git</t>
  </si>
  <si>
    <t xml:space="preserve">https://kubernetes-dashboard.apps.pro.aws.bancsabadell.com/#/configmap/pro-ns-baas/ms-baas-factoring-inblock-v1-micros-app-configs?namespace=pro-ns-baas</t>
  </si>
  <si>
    <t xml:space="preserve">ms-baas-ai-generative</t>
  </si>
  <si>
    <t xml:space="preserve">ms-baas-ai-generative-micros-py-configs</t>
  </si>
  <si>
    <t xml:space="preserve">artifactory.apps.devops.aws.bancsabadell.com/p4-virtual/ms-baas-ai-generative:1.0.18</t>
  </si>
  <si>
    <t xml:space="preserve">ms-baas-ai-generative-p4mspy</t>
  </si>
  <si>
    <t xml:space="preserve">http://repos.bancsabadell.com/bitbucket/scm/ESSAB_P4_AI/ms-baas-ai-generative.git</t>
  </si>
  <si>
    <t xml:space="preserve">1.0.12</t>
  </si>
  <si>
    <t xml:space="preserve">https://kubernetes-dashboard.apps.pro.aws.bancsabadell.com/#/configmap/pro-ns-baas/ms-baas-ai-generative-micros-py-configs?namespace=pro-ns-baas</t>
  </si>
  <si>
    <t xml:space="preserve">ms-baas-lead-and-opportunity-management</t>
  </si>
  <si>
    <t xml:space="preserve">ms-baas-lead-and-opportunity-management-micros-app-configs</t>
  </si>
  <si>
    <t xml:space="preserve">artifactory.apps.devops.aws.bancsabadell.com/p4-virtual/p4cp/ms-baas-lead-and-opportunity-management:1.0.2</t>
  </si>
  <si>
    <t xml:space="preserve">ms-baas-lead-and-opportunity-management-p4ms</t>
  </si>
  <si>
    <t xml:space="preserve">http://repos.bancsabadell.com/bitbucket/scm/P4CP/ms-baas-lead-and-opportunity-management.git</t>
  </si>
  <si>
    <t xml:space="preserve">https://kubernetes-dashboard.apps.pro.aws.bancsabadell.com/#/configmap/pro-ns-baas/ms-baas-lead-and-opportunity-management-micros-app-configs?namespace=pro-ns-baas</t>
  </si>
  <si>
    <t xml:space="preserve">ms-baas-party-routing-profile</t>
  </si>
  <si>
    <t xml:space="preserve">ms-baas-party-routing-profile-micros-app-configs</t>
  </si>
  <si>
    <t xml:space="preserve">artifactory.apps.devops.aws.bancsabadell.com/p4-virtual/mobi/ms-baas-party-routing-profile:1.3.4</t>
  </si>
  <si>
    <t xml:space="preserve">ms-baas-party-routing-profile-p4ms</t>
  </si>
  <si>
    <t xml:space="preserve">http://repos.bancsabadell.com/bitbucket/scm/MOBI/ms-baas-party-routing-profile.git</t>
  </si>
  <si>
    <t xml:space="preserve">https://kubernetes-dashboard.apps.pro.aws.bancsabadell.com/#/configmap/pro-ns-baas/ms-baas-party-routing-profile-micros-app-configs?namespace=pro-ns-baas</t>
  </si>
  <si>
    <t xml:space="preserve">ms-baas-channel-activity-history</t>
  </si>
  <si>
    <t xml:space="preserve">ms-baas-channel-activity-history-micros-app-configs</t>
  </si>
  <si>
    <t xml:space="preserve">artifactory.apps.devops.aws.bancsabadell.com/p4-virtual/p4cp/ms-baas-channel-activity-history:1.0.4</t>
  </si>
  <si>
    <t xml:space="preserve">ms-baas-channel-activity-history-p4ms</t>
  </si>
  <si>
    <t xml:space="preserve">http://repos.bancsabadell.com/bitbucket/scm/P4CP/ms-baas-channel-activity-history.git</t>
  </si>
  <si>
    <t xml:space="preserve">https://kubernetes-dashboard.apps.pro.aws.bancsabadell.com/#/configmap/pro-ns-baas/ms-baas-channel-activity-history-micros-app-configs?namespace=pro-ns-baas</t>
  </si>
  <si>
    <t xml:space="preserve">ms-baas-card-position-keeping-v2</t>
  </si>
  <si>
    <t xml:space="preserve">ms-baas-card-position-keeping-v2-micros-app-configs</t>
  </si>
  <si>
    <t xml:space="preserve">artifactory.apps.devops.aws.bancsabadell.com/p4-virtual/p4cp/ms-baas-card-position-keeping-v2:2.1.34</t>
  </si>
  <si>
    <t xml:space="preserve">ms-baas-card-position-keeping-v2-p4ms</t>
  </si>
  <si>
    <t xml:space="preserve">http://repos.bancsabadell.com/bitbucket/scm/P4CP/ms-baas-card-position-keeping-v2.git</t>
  </si>
  <si>
    <t xml:space="preserve">2.1.34</t>
  </si>
  <si>
    <t xml:space="preserve">2.2.6</t>
  </si>
  <si>
    <t xml:space="preserve">https://kubernetes-dashboard.apps.pro.aws.bancsabadell.com/#/configmap/pro-ns-baas/ms-baas-card-position-keeping-v2-micros-app-configs?namespace=pro-ns-baas</t>
  </si>
  <si>
    <t xml:space="preserve">ms-baas-investment-portfolio-management</t>
  </si>
  <si>
    <t xml:space="preserve">ms-baas-investment-portfolio-management-micros-app-configs</t>
  </si>
  <si>
    <t xml:space="preserve">artifactory.apps.devops.aws.bancsabadell.com/p4-virtual/p4gc/ms-baas-investment-portfolio-management:1.4.9</t>
  </si>
  <si>
    <t xml:space="preserve">ms-baas-investment-portfolio-management-p4ms</t>
  </si>
  <si>
    <t xml:space="preserve">http://repos.bancsabadell.com/bitbucket/scm/P4GC/ms-baas-investment-portfolio-management.git</t>
  </si>
  <si>
    <t xml:space="preserve">1.4.9</t>
  </si>
  <si>
    <t xml:space="preserve">https://kubernetes-dashboard.apps.pro.aws.bancsabadell.com/#/configmap/pro-ns-baas/ms-baas-investment-portfolio-management-micros-app-configs?namespace=pro-ns-baas</t>
  </si>
  <si>
    <t xml:space="preserve">ms-baas-customer-position-v1</t>
  </si>
  <si>
    <t xml:space="preserve">ms-baas-customer-position-v1-micros-app-configs</t>
  </si>
  <si>
    <t xml:space="preserve">artifactory.apps.devops.aws.bancsabadell.com/p4-virtual/mobi/ms-baas-customer-position-v1:1.4.2</t>
  </si>
  <si>
    <t xml:space="preserve">ms-baas-customer-position-v1-p4ms</t>
  </si>
  <si>
    <t xml:space="preserve">http://repos.bancsabadell.com/bitbucket/scm/MOBI/ms-baas-customer-position-v1.git</t>
  </si>
  <si>
    <t xml:space="preserve">https://kubernetes-dashboard.apps.pro.aws.bancsabadell.com/#/configmap/pro-ns-baas/ms-baas-customer-position-v1-micros-app-configs?namespace=pro-ns-baas</t>
  </si>
  <si>
    <t xml:space="preserve">ms-baas-customer-product-and-service-eligibility</t>
  </si>
  <si>
    <t xml:space="preserve">ms-baas-customer-product-and-service-eligibility-micros-app-configs</t>
  </si>
  <si>
    <t xml:space="preserve">artifactory.apps.devops.aws.bancsabadell.com/p4-virtual/p4cp/ms-baas-customer-product-and-service-eligibility:1.3.0</t>
  </si>
  <si>
    <t xml:space="preserve">ms-baas-customer-product-and-service-eligibility-p4ms</t>
  </si>
  <si>
    <t xml:space="preserve">http://repos.bancsabadell.com/bitbucket/scm/P4CP/ms-baas-customer-product-and-service-eligibility.git</t>
  </si>
  <si>
    <t xml:space="preserve">https://kubernetes-dashboard.apps.pro.aws.bancsabadell.com/#/configmap/pro-ns-baas/ms-baas-customer-product-and-service-eligibility-micros-app-configs?namespace=pro-ns-baas</t>
  </si>
  <si>
    <t xml:space="preserve">ms-baas-card-position-keeping</t>
  </si>
  <si>
    <t xml:space="preserve">ms-baas-card-position-keeping-micros-app-configs</t>
  </si>
  <si>
    <t xml:space="preserve">artifactory.apps.devops.aws.bancsabadell.com/p4-virtual/p4cp/ms-baas-card-position-keeping:1.0.9</t>
  </si>
  <si>
    <t xml:space="preserve">ms-baas-card-position-keeping-p4ms</t>
  </si>
  <si>
    <t xml:space="preserve">cjvillamil.m@gmail.com</t>
  </si>
  <si>
    <t xml:space="preserve">http://repos.bancsabadell.com/bitbucket/scm/P4CP/ms-baas-card-position-keeping.git</t>
  </si>
  <si>
    <t xml:space="preserve">https://kubernetes-dashboard.apps.pro.aws.bancsabadell.com/#/configmap/pro-ns-baas/ms-baas-card-position-keeping-micros-app-configs?namespace=pro-ns-baas</t>
  </si>
  <si>
    <t xml:space="preserve">ms-baas-current-account-v1</t>
  </si>
  <si>
    <t xml:space="preserve">ms-baas-current-account-v1-micros-app-configs</t>
  </si>
  <si>
    <t xml:space="preserve">artifactory.apps.devops.aws.bancsabadell.com/p4-virtual/mobi/ms-baas-current-account-v1:2.0.2</t>
  </si>
  <si>
    <t xml:space="preserve">ms-baas-current-account-v1-p4ms</t>
  </si>
  <si>
    <t xml:space="preserve">http://repos.bancsabadell.com/bitbucket/scm/MOBI/ms-baas-current-account-v1.git</t>
  </si>
  <si>
    <t xml:space="preserve">https://kubernetes-dashboard.apps.pro.aws.bancsabadell.com/#/configmap/pro-ns-baas/ms-baas-current-account-v1-micros-app-configs?namespace=pro-ns-baas</t>
  </si>
  <si>
    <t xml:space="preserve">ms-baas-connected-client</t>
  </si>
  <si>
    <t xml:space="preserve">ms-baas-connected-client-micros-app-configs</t>
  </si>
  <si>
    <t xml:space="preserve">artifactory.apps.devops.aws.bancsabadell.com/p4-virtual/essabconnectedclient/ms-baas-connected-client:1.2.1</t>
  </si>
  <si>
    <t xml:space="preserve">ms-baas-connected-client-p4ms</t>
  </si>
  <si>
    <t xml:space="preserve">http://repos.bancsabadell.com/bitbucket/scm/ESSABCONNECTEDCLIENT/ms-baas-connected-client.git</t>
  </si>
  <si>
    <t xml:space="preserve">https://kubernetes-dashboard.apps.pro.aws.bancsabadell.com/#/configmap/pro-ns-baas/ms-baas-connected-client-micros-app-configs?namespace=pro-ns-baas</t>
  </si>
  <si>
    <t xml:space="preserve">ms-baas-mortgage-loan-v1</t>
  </si>
  <si>
    <t xml:space="preserve">ms-baas-mortgage-loan-v1-micros-app-configs</t>
  </si>
  <si>
    <t xml:space="preserve">artifactory.apps.devops.aws.bancsabadell.com/p4-virtual/p4cp/ms-baas-mortgage-loan-v1:1.3.0</t>
  </si>
  <si>
    <t xml:space="preserve">ms-baas-mortgage-loan-v1-p4ms</t>
  </si>
  <si>
    <t xml:space="preserve">http://repos.bancsabadell.com/bitbucket/scm/P4CP/ms-baas-mortgage-loan-v1.git</t>
  </si>
  <si>
    <t xml:space="preserve">https://kubernetes-dashboard.apps.pro.aws.bancsabadell.com/#/configmap/pro-ns-baas/ms-baas-mortgage-loan-v1-micros-app-configs?namespace=pro-ns-baas</t>
  </si>
  <si>
    <t xml:space="preserve">ms-baas-merchant-acquiring-facility-v1</t>
  </si>
  <si>
    <t xml:space="preserve">ms-baas-merchant-acquiring-facility-v1-micros-app-configs</t>
  </si>
  <si>
    <t xml:space="preserve">artifactory.apps.devops.aws.bancsabadell.com/p4-virtual/p4cp/ms-baas-merchant-acquiring-facility-v1:1.0.9</t>
  </si>
  <si>
    <t xml:space="preserve">ms-baas-merchant-acquiring-facility-v1-p4ms</t>
  </si>
  <si>
    <t xml:space="preserve">lherasm@minsait.com</t>
  </si>
  <si>
    <t xml:space="preserve">http://repos.bancsabadell.com/bitbucket/scm/P4CP/ms-baas-merchant-acquiring-facility-v1.git</t>
  </si>
  <si>
    <t xml:space="preserve">https://kubernetes-dashboard.apps.pro.aws.bancsabadell.com/#/configmap/pro-ns-baas/ms-baas-merchant-acquiring-facility-v1-micros-app-configs?namespace=pro-ns-baas</t>
  </si>
  <si>
    <t xml:space="preserve">ms-baas-term-deposit</t>
  </si>
  <si>
    <t xml:space="preserve">ms-baas-term-deposit-micros-app-configs</t>
  </si>
  <si>
    <t xml:space="preserve">artifactory.apps.devops.aws.bancsabadell.com/p4-virtual/poojj/ms-baas-term-deposit:1.0.6</t>
  </si>
  <si>
    <t xml:space="preserve">ms-baas-term-deposit-p4ms</t>
  </si>
  <si>
    <t xml:space="preserve">p4ms-0.15.2</t>
  </si>
  <si>
    <t xml:space="preserve">http://repos.bancsabadell.com/bitbucket/scm/POOJJ/ms-baas-term-deposit.git</t>
  </si>
  <si>
    <t xml:space="preserve">https://kubernetes-dashboard.apps.pro.aws.bancsabadell.com/#/configmap/pro-ns-baas/ms-baas-term-deposit-micros-app-configs?namespace=pro-ns-baas</t>
  </si>
  <si>
    <t xml:space="preserve">ms-baas-onboarding</t>
  </si>
  <si>
    <t xml:space="preserve">ms-baas-onboarding-micros-app-configs</t>
  </si>
  <si>
    <t xml:space="preserve">artifactory.apps.devops.aws.bancsabadell.com/p4-virtual/p4cp/ms-baas-onboarding:0.34.0</t>
  </si>
  <si>
    <t xml:space="preserve">ms-baas-onboarding-p4ms</t>
  </si>
  <si>
    <t xml:space="preserve">http://repos.bancsabadell.com/bitbucket/scm/P4CP/ms-baas-onboarding.git</t>
  </si>
  <si>
    <t xml:space="preserve">0.34.0</t>
  </si>
  <si>
    <t xml:space="preserve">0.13.1</t>
  </si>
  <si>
    <t xml:space="preserve">https://kubernetes-dashboard.apps.pro.aws.bancsabadell.com/#/configmap/pro-ns-baas/ms-baas-onboarding-micros-app-configs?namespace=pro-ns-baas</t>
  </si>
  <si>
    <t xml:space="preserve">ms-baas-transaction-authorization-bd</t>
  </si>
  <si>
    <t xml:space="preserve">ms-baas-transaction-authorization-bd-micros-app-configs</t>
  </si>
  <si>
    <t xml:space="preserve">artifactory.apps.devops.aws.bancsabadell.com/p4-virtual/p4cp/ms-baas-transaction-authorization-bd:0.2.26</t>
  </si>
  <si>
    <t xml:space="preserve">ms-baas-transaction-authorization-bd-p4ms</t>
  </si>
  <si>
    <t xml:space="preserve">http://repos.bancsabadell.com/bitbucket/scm/p4cp/ms-baas-transaction-authorization-bd.git</t>
  </si>
  <si>
    <t xml:space="preserve">0.2.26</t>
  </si>
  <si>
    <t xml:space="preserve">https://kubernetes-dashboard.apps.pro.aws.bancsabadell.com/#/configmap/pro-ns-baas/ms-baas-transaction-authorization-bd-micros-app-configs?namespace=pro-ns-baas</t>
  </si>
  <si>
    <t xml:space="preserve">ms-baas-employees-reference-data-directory-v1</t>
  </si>
  <si>
    <t xml:space="preserve">ms-baas-employees-reference-data-directory-v1-micros-app-configs</t>
  </si>
  <si>
    <t xml:space="preserve">artifactory.apps.devops.aws.bancsabadell.com/p4-virtual/p4cp/ms-baas-employees-reference-data-directory-v1:1.0.8</t>
  </si>
  <si>
    <t xml:space="preserve">ms-baas-employees-reference-data-directory-v1-p4ms</t>
  </si>
  <si>
    <t xml:space="preserve">dperealb@emeal.nttdata.com</t>
  </si>
  <si>
    <t xml:space="preserve">http://repos.bancsabadell.com/bitbucket/scm/p4cp/ms-baas-employees-reference-data-directory-v1.git</t>
  </si>
  <si>
    <t xml:space="preserve">https://kubernetes-dashboard.apps.pro.aws.bancsabadell.com/#/configmap/pro-ns-baas/ms-baas-employees-reference-data-directory-v1-micros-app-configs?namespace=pro-ns-baas</t>
  </si>
  <si>
    <t xml:space="preserve">ms-baas-confirming-v1</t>
  </si>
  <si>
    <t xml:space="preserve">ms-baas-confirming-v1-micros-app-configs</t>
  </si>
  <si>
    <t xml:space="preserve">artifactory.apps.devops.aws.bancsabadell.com/p4-virtual/p4cp/ms-baas-confirming-v1:1.0.7</t>
  </si>
  <si>
    <t xml:space="preserve">ms-baas-confirming-v1-p4ms</t>
  </si>
  <si>
    <t xml:space="preserve">http://repos.bancsabadell.com/bitbucket/scm/P4CP/ms-baas-confirming-v1.git</t>
  </si>
  <si>
    <t xml:space="preserve">https://kubernetes-dashboard.apps.pro.aws.bancsabadell.com/#/configmap/pro-ns-baas/ms-baas-confirming-v1-micros-app-configs?namespace=pro-ns-baas</t>
  </si>
  <si>
    <t xml:space="preserve">ms-baas-regulatory-and-legal-authority</t>
  </si>
  <si>
    <t xml:space="preserve">ms-baas-regulatory-and-legal-authority-micros-app-configs</t>
  </si>
  <si>
    <t xml:space="preserve">artifactory.apps.devops.aws.bancsabadell.com/p4-virtual/poojj/ms-baas-regulatory-and-legal-authority:1.0.11</t>
  </si>
  <si>
    <t xml:space="preserve">ms-baas-regulatory-and-legal-authority-p4ms</t>
  </si>
  <si>
    <t xml:space="preserve">http://repos.bancsabadell.com/bitbucket/scm/poojj/ms-baas-regulatory-and-legal-authority.git</t>
  </si>
  <si>
    <t xml:space="preserve">https://kubernetes-dashboard.apps.pro.aws.bancsabadell.com/#/configmap/pro-ns-baas/ms-baas-regulatory-and-legal-authority-micros-app-configs?namespace=pro-ns-baas</t>
  </si>
  <si>
    <t xml:space="preserve">ms-baas-outsystems-notifications</t>
  </si>
  <si>
    <t xml:space="preserve">ms-baas-outsystems-notifications-micros-app-configs</t>
  </si>
  <si>
    <t xml:space="preserve">artifactory.apps.devops.aws.bancsabadell.com/p4-virtual/essabphishing/ms-baas-outsystems-notifications:1.6.1</t>
  </si>
  <si>
    <t xml:space="preserve">ms-baas-outsystems-notifications-p4ms</t>
  </si>
  <si>
    <t xml:space="preserve">http://repos.bancsabadell.com/bitbucket/scm/ESSABPHISHING/ms-baas-outsystems-notifications.git</t>
  </si>
  <si>
    <t xml:space="preserve">1.4.3</t>
  </si>
  <si>
    <t xml:space="preserve">https://kubernetes-dashboard.apps.pro.aws.bancsabadell.com/#/configmap/pro-ns-baas/ms-baas-outsystems-notifications-micros-app-configs?namespace=pro-ns-baas</t>
  </si>
  <si>
    <t xml:space="preserve">ms-baas-satsia</t>
  </si>
  <si>
    <t xml:space="preserve">ms-baas-satsia-micros-app-configs</t>
  </si>
  <si>
    <t xml:space="preserve">artifactory.apps.devops.aws.bancsabadell.com/p4-virtual/essabsatsia/ms-baas-satsia:1.2.22</t>
  </si>
  <si>
    <t xml:space="preserve">ms-baas-satsia-p4ms</t>
  </si>
  <si>
    <t xml:space="preserve">http://repos.bancsabadell.com/bitbucket/scm/ESSABSATSIA/ms-baas-satsia.git</t>
  </si>
  <si>
    <t xml:space="preserve">https://kubernetes-dashboard.apps.pro.aws.bancsabadell.com/#/configmap/pro-ns-baas/ms-baas-satsia-micros-app-configs?namespace=pro-ns-baas</t>
  </si>
  <si>
    <t xml:space="preserve">ms-baas-position-keeping-v3</t>
  </si>
  <si>
    <t xml:space="preserve">ms-baas-position-keeping-v3-micros-app-configs</t>
  </si>
  <si>
    <t xml:space="preserve">artifactory.apps.devops.aws.bancsabadell.com/p4-virtual/dds/ms-baas-position-keeping-v3:3.1.29</t>
  </si>
  <si>
    <t xml:space="preserve">ms-baas-position-keeping-v3-p4ms</t>
  </si>
  <si>
    <t xml:space="preserve">http://repos.bancsabadell.com/bitbucket/scm/DDS/ms-baas-position-keeping-v3.git</t>
  </si>
  <si>
    <t xml:space="preserve">3.1.29</t>
  </si>
  <si>
    <t xml:space="preserve">3.3.3</t>
  </si>
  <si>
    <t xml:space="preserve">https://kubernetes-dashboard.apps.pro.aws.bancsabadell.com/#/configmap/pro-ns-baas/ms-baas-position-keeping-v3-micros-app-configs?namespace=pro-ns-baas</t>
  </si>
  <si>
    <t xml:space="preserve">ms-baas-product-matching-v1</t>
  </si>
  <si>
    <t xml:space="preserve">ms-baas-product-matching-v1-micros-app-configs</t>
  </si>
  <si>
    <t xml:space="preserve">artifactory.apps.devops.aws.bancsabadell.com/p4-virtual/mobi/ms-baas-product-matching-v1:2.0.2</t>
  </si>
  <si>
    <t xml:space="preserve">ms-baas-product-matching-v1-p4ms</t>
  </si>
  <si>
    <t xml:space="preserve">alvaro@sabadelldigital.com</t>
  </si>
  <si>
    <t xml:space="preserve">http://repos.bancsabadell.com/bitbucket/scm/MOBI/ms-baas-product-matching-v1.git</t>
  </si>
  <si>
    <t xml:space="preserve">https://kubernetes-dashboard.apps.pro.aws.bancsabadell.com/#/configmap/pro-ns-baas/ms-baas-product-matching-v1-micros-app-configs?namespace=pro-ns-baas</t>
  </si>
  <si>
    <t xml:space="preserve">ms-baas-loan-v2</t>
  </si>
  <si>
    <t xml:space="preserve">ms-baas-loan-v2-micros-app-configs</t>
  </si>
  <si>
    <t xml:space="preserve">artifactory.apps.devops.aws.bancsabadell.com/p4-virtual/p4cp/ms-baas-loan-v2:1.2.16</t>
  </si>
  <si>
    <t xml:space="preserve">ms-baas-loan-v2-p4ms</t>
  </si>
  <si>
    <t xml:space="preserve">http://repos.bancsabadell.com/bitbucket/scm/P4CP/ms-baas-loan-v2.git</t>
  </si>
  <si>
    <t xml:space="preserve">1.2.16</t>
  </si>
  <si>
    <t xml:space="preserve">1.2.10</t>
  </si>
  <si>
    <t xml:space="preserve">https://kubernetes-dashboard.apps.pro.aws.bancsabadell.com/#/configmap/pro-ns-baas/ms-baas-loan-v2-micros-app-configs?namespace=pro-ns-baas</t>
  </si>
  <si>
    <t xml:space="preserve">ms-baas-legal-entity-directory-pe-v1</t>
  </si>
  <si>
    <t xml:space="preserve">ms-baas-legal-entity-directory-pe-v1-micros-app-configs</t>
  </si>
  <si>
    <t xml:space="preserve">artifactory.apps.devops.aws.bancsabadell.com/p4-virtual/mobi/ms-baas-legal-entity-directory-pe-v1:0.1.8</t>
  </si>
  <si>
    <t xml:space="preserve">ms-baas-legal-entity-directory-pe-v1-p4ms</t>
  </si>
  <si>
    <t xml:space="preserve">http://repos.bancsabadell.com/bitbucket/scm/mobi/ms-baas-legal-entity-directory-pe-v1.git</t>
  </si>
  <si>
    <t xml:space="preserve">3.8.0</t>
  </si>
  <si>
    <t xml:space="preserve">https://kubernetes-dashboard.apps.pro.aws.bancsabadell.com/#/configmap/pro-ns-baas/ms-baas-legal-entity-directory-pe-v1-micros-app-configs?namespace=pro-ns-baas</t>
  </si>
  <si>
    <t xml:space="preserve">ms-baas-consumo-datos</t>
  </si>
  <si>
    <t xml:space="preserve">ms-baas-consumo-datos-micros-app-configs</t>
  </si>
  <si>
    <t xml:space="preserve">artifactory.apps.devops.aws.bancsabadell.com/p4-virtual/esaccesodato/ms-baas-consumo-datos:1.2.7</t>
  </si>
  <si>
    <t xml:space="preserve">ms-baas-consumo-datos-p4ms</t>
  </si>
  <si>
    <t xml:space="preserve">http://repos.bancsabadell.com/bitbucket/scm/ESACCESODATO/ms-baas-consumo-datos.git</t>
  </si>
  <si>
    <t xml:space="preserve">https://kubernetes-dashboard.apps.pro.aws.bancsabadell.com/#/configmap/pro-ns-baas/ms-baas-consumo-datos-micros-app-configs?namespace=pro-ns-baas</t>
  </si>
  <si>
    <t xml:space="preserve">ms-baas-card-hiring</t>
  </si>
  <si>
    <t xml:space="preserve">ms-baas-card-hiring-micros-app-configs</t>
  </si>
  <si>
    <t xml:space="preserve">artifactory.apps.devops.aws.bancsabadell.com/p4-virtual/p4cp/ms-baas-card-hiring:1.4.5</t>
  </si>
  <si>
    <t xml:space="preserve">ms-baas-card-hiring-p4ms</t>
  </si>
  <si>
    <t xml:space="preserve">http://repos.bancsabadell.com/bitbucket/scm/P4CP/ms-baas-card-hiring.git</t>
  </si>
  <si>
    <t xml:space="preserve">1.2.11</t>
  </si>
  <si>
    <t xml:space="preserve">https://kubernetes-dashboard.apps.pro.aws.bancsabadell.com/#/configmap/pro-ns-baas/ms-baas-card-hiring-micros-app-configs?namespace=pro-ns-baas</t>
  </si>
  <si>
    <t xml:space="preserve">ms-baas-bs-accounts-aggregation</t>
  </si>
  <si>
    <t xml:space="preserve">ms-baas-bs-accounts-aggregation-micros-app-configs</t>
  </si>
  <si>
    <t xml:space="preserve">artifactory.apps.devops.aws.bancsabadell.com/p4-virtual/esaltacli/ms-baas-bs-accounts-aggregation:2.0.9</t>
  </si>
  <si>
    <t xml:space="preserve">ms-baas-bs-accounts-aggregation-p4ms</t>
  </si>
  <si>
    <t xml:space="preserve">http://repos.bancsabadell.com/bitbucket/scm/ESALTACLI/ms-baas-bs-accounts-aggregation.git</t>
  </si>
  <si>
    <t xml:space="preserve">https://kubernetes-dashboard.apps.pro.aws.bancsabadell.com/#/configmap/pro-ns-baas/ms-baas-bs-accounts-aggregation-micros-app-configs?namespace=pro-ns-baas</t>
  </si>
  <si>
    <t xml:space="preserve">ms-baas-correspondence-v2</t>
  </si>
  <si>
    <t xml:space="preserve">ms-baas-correspondence-v2-micros-app-configs</t>
  </si>
  <si>
    <t xml:space="preserve">artifactory.apps.devops.aws.bancsabadell.com/p4-virtual/p4cp/ms-baas-correspondence-v2:1.1.6</t>
  </si>
  <si>
    <t xml:space="preserve">ms-baas-correspondence-v2-p4ms</t>
  </si>
  <si>
    <t xml:space="preserve">http://repos.bancsabadell.com/bitbucket/scm/p4cp/ms-baas-correspondence-v2.git</t>
  </si>
  <si>
    <t xml:space="preserve">https://kubernetes-dashboard.apps.pro.aws.bancsabadell.com/#/configmap/pro-ns-baas/ms-baas-correspondence-v2-micros-app-configs?namespace=pro-ns-baas</t>
  </si>
  <si>
    <t xml:space="preserve">ms-baas-cards-redsys-v1</t>
  </si>
  <si>
    <t xml:space="preserve">ms-baas-cards-redsys-v1-micros-app-configs</t>
  </si>
  <si>
    <t xml:space="preserve">artifactory.apps.devops.aws.bancsabadell.com/p4-virtual/p4cp/ms-baas-cards-redsys-v1:1.0.19</t>
  </si>
  <si>
    <t xml:space="preserve">ms-baas-cards-redsys-v1-p4ms</t>
  </si>
  <si>
    <t xml:space="preserve">http://repos.bancsabadell.com/bitbucket/scm/P4CP/ms-baas-cards-redsys-v1.git</t>
  </si>
  <si>
    <t xml:space="preserve">https://kubernetes-dashboard.apps.pro.aws.bancsabadell.com/#/configmap/pro-ns-baas/ms-baas-cards-redsys-v1-micros-app-configs?namespace=pro-ns-baas</t>
  </si>
  <si>
    <t xml:space="preserve">ms-baas-ai-knowledge</t>
  </si>
  <si>
    <t xml:space="preserve">ms-baas-ai-knowledge-micros-py-configs</t>
  </si>
  <si>
    <t xml:space="preserve">artifactory.apps.devops.aws.bancsabadell.com/p4-virtual/ms-baas-ai-knowledge:1.0.4</t>
  </si>
  <si>
    <t xml:space="preserve">ms-baas-ai-knowledge-p4mspy</t>
  </si>
  <si>
    <t xml:space="preserve">http://repos.bancsabadell.com/bitbucket/scm/ESSAB_P4_AI/ms-baas-ai-knowledge.git</t>
  </si>
  <si>
    <t xml:space="preserve">https://kubernetes-dashboard.apps.pro.aws.bancsabadell.com/#/configmap/pro-ns-baas/ms-baas-ai-knowledge-micros-py-configs?namespace=pro-ns-baas</t>
  </si>
  <si>
    <t xml:space="preserve">ms-baas-customer-products-and-services-v1</t>
  </si>
  <si>
    <t xml:space="preserve">ms-baas-customer-products-and-services-v1-micros-app-configs</t>
  </si>
  <si>
    <t xml:space="preserve">artifactory.apps.devops.aws.bancsabadell.com/p4-virtual/mobi/ms-baas-customer-products-and-services-v1:1.8.2</t>
  </si>
  <si>
    <t xml:space="preserve">ms-baas-customer-products-and-services-v1-p4ms</t>
  </si>
  <si>
    <t xml:space="preserve">http://repos.bancsabadell.com/bitbucket/scm/MOBI/ms-baas-customer-products-and-services-v1.git</t>
  </si>
  <si>
    <t xml:space="preserve">https://kubernetes-dashboard.apps.pro.aws.bancsabadell.com/#/configmap/pro-ns-baas/ms-baas-customer-products-and-services-v1-micros-app-configs?namespace=pro-ns-baas</t>
  </si>
  <si>
    <t xml:space="preserve">ms-baas-issued-device-administration</t>
  </si>
  <si>
    <t xml:space="preserve">ms-baas-issued-device-administration-micros-app-configs</t>
  </si>
  <si>
    <t xml:space="preserve">artifactory.apps.devops.aws.bancsabadell.com/p4-virtual/p4des/ms-baas-issued-device-administration:0.1.0</t>
  </si>
  <si>
    <t xml:space="preserve">ms-baas-issued-device-administration-p4ms</t>
  </si>
  <si>
    <t xml:space="preserve">https://bitbucket.apps.devops.aws.bancsabadell.com/scm/P4DES/ms-baas-issued-device-administration.git</t>
  </si>
  <si>
    <t xml:space="preserve">https://kubernetes-dashboard.apps.pro.aws.bancsabadell.com/#/configmap/pro-ns-baas/ms-baas-issued-device-administration-micros-app-configs?namespace=pro-ns-baas</t>
  </si>
  <si>
    <t xml:space="preserve">ms-baas-servicing-order-v1</t>
  </si>
  <si>
    <t xml:space="preserve">ms-baas-servicing-order-v1-micros-app-configs</t>
  </si>
  <si>
    <t xml:space="preserve">artifactory.apps.devops.aws.bancsabadell.com/p4-virtual/p4cp/ms-baas-servicing-order-v1:0.1.3</t>
  </si>
  <si>
    <t xml:space="preserve">ms-baas-servicing-order-v1-p4ms</t>
  </si>
  <si>
    <t xml:space="preserve">http://repos.bancsabadell.com/bitbucket/scm/p4cp/ms-baas-servicing-order-v1.git</t>
  </si>
  <si>
    <t xml:space="preserve">https://kubernetes-dashboard.apps.pro.aws.bancsabadell.com/#/configmap/pro-ns-baas/ms-baas-servicing-order-v1-micros-app-configs?namespace=pro-ns-baas</t>
  </si>
  <si>
    <t xml:space="preserve">ms-baas-party-authentication-iam-v1</t>
  </si>
  <si>
    <t xml:space="preserve">ms-baas-party-authentication-iam-v1-micros-app-configs</t>
  </si>
  <si>
    <t xml:space="preserve">artifactory.apps.devops.aws.bancsabadell.com/p4-virtual/p4cp/ms-baas-party-authentication-iam-v1:1.0.3</t>
  </si>
  <si>
    <t xml:space="preserve">ms-baas-party-authentication-iam-v1-p4ms</t>
  </si>
  <si>
    <t xml:space="preserve">anil.kumar.ht@accenture.com</t>
  </si>
  <si>
    <t xml:space="preserve">http://repos.bancsabadell.com/bitbucket/scm/P4CP/ms-baas-party-authentication-iam-v1.git</t>
  </si>
  <si>
    <t xml:space="preserve">https://kubernetes-dashboard.apps.pro.aws.bancsabadell.com/#/configmap/pro-ns-baas/ms-baas-party-authentication-iam-v1-micros-app-configs?namespace=pro-ns-baas</t>
  </si>
  <si>
    <t xml:space="preserve">ms-baas-card-financial-settlement</t>
  </si>
  <si>
    <t xml:space="preserve">ms-baas-card-financial-settlement-micros-app-configs</t>
  </si>
  <si>
    <t xml:space="preserve">artifactory.apps.devops.aws.bancsabadell.com/p4-virtual/p4cp/ms-baas-card-financial-settlement:1.0.7</t>
  </si>
  <si>
    <t xml:space="preserve">ms-baas-card-financial-settlement-p4ms</t>
  </si>
  <si>
    <t xml:space="preserve">http://repos.bancsabadell.com/bitbucket/scm/P4CP/ms-baas-card-financial-settlement.git</t>
  </si>
  <si>
    <t xml:space="preserve">https://kubernetes-dashboard.apps.pro.aws.bancsabadell.com/#/configmap/pro-ns-baas/ms-baas-card-financial-settlement-micros-app-configs?namespace=pro-ns-baas</t>
  </si>
  <si>
    <t xml:space="preserve">ms-baas-payment-initiation-v1</t>
  </si>
  <si>
    <t xml:space="preserve">ms-baas-payment-initiation-v1-micros-app-configs</t>
  </si>
  <si>
    <t xml:space="preserve">artifactory.apps.devops.aws.bancsabadell.com/p4-virtual/p4cp/ms-baas-payment-initiation-v1:1.4.8</t>
  </si>
  <si>
    <t xml:space="preserve">ms-baas-payment-initiation-v1-p4ms</t>
  </si>
  <si>
    <t xml:space="preserve">http://repos.bancsabadell.com/bitbucket/scm/P4CP/ms-baas-payment-initiation-v1.git</t>
  </si>
  <si>
    <t xml:space="preserve">https://kubernetes-dashboard.apps.pro.aws.bancsabadell.com/#/configmap/pro-ns-baas/ms-baas-payment-initiation-v1-micros-app-configs?namespace=pro-ns-baas</t>
  </si>
  <si>
    <t xml:space="preserve">ms-baas-creditmanagement</t>
  </si>
  <si>
    <t xml:space="preserve">ms-baas-creditmanagement-micros-app-configs</t>
  </si>
  <si>
    <t xml:space="preserve">artifactory.apps.devops.aws.bancsabadell.com/p4-virtual/esraroc/ms-baas-creditmanagement:3.1.14</t>
  </si>
  <si>
    <t xml:space="preserve">ms-baas-creditmanagement-p4ms</t>
  </si>
  <si>
    <t xml:space="preserve">francisco.a.perez@accenture.com</t>
  </si>
  <si>
    <t xml:space="preserve">http://repos.bancsabadell.com/bitbucket/scm/ESRAROC/ms-baas-creditmanagement.git</t>
  </si>
  <si>
    <t xml:space="preserve">3.1.14</t>
  </si>
  <si>
    <t xml:space="preserve">0.1.15</t>
  </si>
  <si>
    <t xml:space="preserve">https://kubernetes-dashboard.apps.pro.aws.bancsabadell.com/#/configmap/pro-ns-baas/ms-baas-creditmanagement-micros-app-configs?namespace=pro-ns-baas</t>
  </si>
  <si>
    <t xml:space="preserve">ms-baas-bureaux</t>
  </si>
  <si>
    <t xml:space="preserve">ms-baas-bureaux-micros-app-configs</t>
  </si>
  <si>
    <t xml:space="preserve">artifactory.apps.devops.aws.bancsabadell.com/p4-virtual/experian/ms-baas-bureaux:1.1.9</t>
  </si>
  <si>
    <t xml:space="preserve">ms-baas-bureaux-p4ms</t>
  </si>
  <si>
    <t xml:space="preserve">http://repos.bancsabadell.com/bitbucket/scm/EXPERIAN/ms-baas-bureaux.git</t>
  </si>
  <si>
    <t xml:space="preserve">https://kubernetes-dashboard.apps.pro.aws.bancsabadell.com/#/configmap/pro-ns-baas/ms-baas-bureaux-micros-app-configs?namespace=pro-ns-baas</t>
  </si>
  <si>
    <t xml:space="preserve">ms-baas-desktop-notifications</t>
  </si>
  <si>
    <t xml:space="preserve">ms-baas-desktop-notifications-micros-app-configs</t>
  </si>
  <si>
    <t xml:space="preserve">artifactory.apps.devops.aws.bancsabadell.com/p4-virtual/p4notifications/ms-baas-desktop-notifications:1.0.4</t>
  </si>
  <si>
    <t xml:space="preserve">ms-baas-desktop-notifications-p4ms</t>
  </si>
  <si>
    <t xml:space="preserve">http://repos.bancsabadell.com/bitbucket/scm/p4notifications/ms-baas-desktop-notifications.git</t>
  </si>
  <si>
    <t xml:space="preserve">https://kubernetes-dashboard.apps.pro.aws.bancsabadell.com/#/configmap/pro-ns-baas/ms-baas-desktop-notifications-micros-app-configs?namespace=pro-ns-baas</t>
  </si>
  <si>
    <t xml:space="preserve">ms-baas-payment-rail-operations-v2</t>
  </si>
  <si>
    <t xml:space="preserve">ms-baas-payment-rail-operations-v2-micros-app-configs</t>
  </si>
  <si>
    <t xml:space="preserve">artifactory.apps.devops.aws.bancsabadell.com/p4-virtual/p4cp/ms-baas-payment-rail-operations-v2:1.3.0</t>
  </si>
  <si>
    <t xml:space="preserve">ms-baas-payment-rail-operations-v2-p4ms</t>
  </si>
  <si>
    <t xml:space="preserve">http://repos.bancsabadell.com/bitbucket/scm/p4cp/ms-baas-payment-rail-operations-v2.git</t>
  </si>
  <si>
    <t xml:space="preserve">https://kubernetes-dashboard.apps.pro.aws.bancsabadell.com/#/configmap/pro-ns-baas/ms-baas-payment-rail-operations-v2-micros-app-configs?namespace=pro-ns-baas</t>
  </si>
  <si>
    <t xml:space="preserve">ms-baas-notifications</t>
  </si>
  <si>
    <t xml:space="preserve">ms-baas-notifications-micros-app-configs</t>
  </si>
  <si>
    <t xml:space="preserve">artifactory.apps.devops.aws.bancsabadell.com/p4-virtual/p4cp/ms-baas-notifications:1.3.3</t>
  </si>
  <si>
    <t xml:space="preserve">ms-baas-notifications-p4ms</t>
  </si>
  <si>
    <t xml:space="preserve">http://repos.bancsabadell.com/bitbucket/scm/P4CP/ms-baas-notifications.git</t>
  </si>
  <si>
    <t xml:space="preserve">https://kubernetes-dashboard.apps.pro.aws.bancsabadell.com/#/configmap/pro-ns-baas/ms-baas-notifications-micros-app-configs?namespace=pro-ns-baas</t>
  </si>
  <si>
    <t xml:space="preserve">ms-baas-correspondence-v1</t>
  </si>
  <si>
    <t xml:space="preserve">ms-baas-correspondence-v1-micros-app-configs</t>
  </si>
  <si>
    <t xml:space="preserve">artifactory.apps.devops.aws.bancsabadell.com/p4-virtual/p4cp/ms-baas-correspondence-v1:2.5.11</t>
  </si>
  <si>
    <t xml:space="preserve">ms-baas-correspondence-v1-p4ms</t>
  </si>
  <si>
    <t xml:space="preserve">http://repos.bancsabadell.com/bitbucket/scm/p4cp/ms-baas-correspondence-v1.git</t>
  </si>
  <si>
    <t xml:space="preserve">2.5.11</t>
  </si>
  <si>
    <t xml:space="preserve">https://kubernetes-dashboard.apps.pro.aws.bancsabadell.com/#/configmap/pro-ns-baas/ms-baas-correspondence-v1-micros-app-configs?namespace=pro-ns-baas</t>
  </si>
  <si>
    <t xml:space="preserve">ms-baas-payment-rail-operations</t>
  </si>
  <si>
    <t xml:space="preserve">ms-baas-payment-rail-operations-micros-app-configs</t>
  </si>
  <si>
    <t xml:space="preserve">artifactory.apps.devops.aws.bancsabadell.com/p4-virtual/p4cp/ms-baas-payment-rail-operations:2.9.3</t>
  </si>
  <si>
    <t xml:space="preserve">ms-baas-payment-rail-operations-p4ms</t>
  </si>
  <si>
    <t xml:space="preserve">http://repos.bancsabadell.com/bitbucket/scm/p4cp/ms-baas-payment-rail-operations.git</t>
  </si>
  <si>
    <t xml:space="preserve">2.9.3</t>
  </si>
  <si>
    <t xml:space="preserve">https://kubernetes-dashboard.apps.pro.aws.bancsabadell.com/#/configmap/pro-ns-baas/ms-baas-payment-rail-operations-micros-app-configs?namespace=pro-ns-baas</t>
  </si>
  <si>
    <t xml:space="preserve">ms-baas-position-keeping-extended-v1</t>
  </si>
  <si>
    <t xml:space="preserve">ms-baas-position-keeping-extended-v1-micros-app-configs</t>
  </si>
  <si>
    <t xml:space="preserve">artifactory.apps.devops.aws.bancsabadell.com/p4-virtual/mobi/ms-baas-position-keeping-extended-v1:2.0.0</t>
  </si>
  <si>
    <t xml:space="preserve">ms-baas-position-keeping-extended-v1-p4ms</t>
  </si>
  <si>
    <t xml:space="preserve">http://repos.bancsabadell.com/bitbucket/scm/MOBI/ms-baas-position-keeping-extended-v1.git</t>
  </si>
  <si>
    <t xml:space="preserve">https://kubernetes-dashboard.apps.pro.aws.bancsabadell.com/#/configmap/pro-ns-baas/ms-baas-position-keeping-extended-v1-micros-app-configs?namespace=pro-ns-baas</t>
  </si>
  <si>
    <t xml:space="preserve">ms-openbanking-baas-aggregation</t>
  </si>
  <si>
    <t xml:space="preserve">ms-openbanking-baas-aggregation-micros-app-configs</t>
  </si>
  <si>
    <t xml:space="preserve">artifactory.apps.devops.aws.bancsabadell.com/p4-virtual/aisp/ms-openbanking-baas-aggregation:0.5.22</t>
  </si>
  <si>
    <t xml:space="preserve">ms-openbanking-baas-aggregation-p4ms</t>
  </si>
  <si>
    <t xml:space="preserve">http://repos.bancsabadell.com/bitbucket/scm/AISP/ms-openbanking-baas-aggregation.git</t>
  </si>
  <si>
    <t xml:space="preserve">0.5.22</t>
  </si>
  <si>
    <t xml:space="preserve">0.5.14</t>
  </si>
  <si>
    <t xml:space="preserve">https://kubernetes-dashboard.apps.pro.aws.bancsabadell.com/#/configmap/pro-ns-baas/ms-openbanking-baas-aggregation-micros-app-configs?namespace=pro-ns-baas</t>
  </si>
  <si>
    <t xml:space="preserve">ms-baas-customer-product-and-service-eligibility-v2</t>
  </si>
  <si>
    <t xml:space="preserve">ms-baas-customer-product-and-service-eligibility-v2-micros-app-configs</t>
  </si>
  <si>
    <t xml:space="preserve">artifactory.apps.devops.aws.bancsabadell.com/p4-virtual/p4cp/ms-baas-customer-product-and-service-eligibility-v2:0.3.10</t>
  </si>
  <si>
    <t xml:space="preserve">ms-baas-customer-product-and-service-eligibility-v2-p4ms</t>
  </si>
  <si>
    <t xml:space="preserve">http://repos.bancsabadell.com/bitbucket/scm/P4CP/ms-baas-customer-product-and-service-eligibility-v2.git</t>
  </si>
  <si>
    <t xml:space="preserve">0.3.10</t>
  </si>
  <si>
    <t xml:space="preserve">https://kubernetes-dashboard.apps.pro.aws.bancsabadell.com/#/configmap/pro-ns-baas/ms-baas-customer-product-and-service-eligibility-v2-micros-app-configs?namespace=pro-ns-baas</t>
  </si>
  <si>
    <t xml:space="preserve">ms-app-account-dv</t>
  </si>
  <si>
    <t xml:space="preserve">ms-app-account-dv-micros-app-configs</t>
  </si>
  <si>
    <t xml:space="preserve">artifactory.apps.devops.aws.bancsabadell.com/p4-virtual/mobi/ms-app-account-dv:0.5.1</t>
  </si>
  <si>
    <t xml:space="preserve">ms-app-account-dv-p4ms</t>
  </si>
  <si>
    <t xml:space="preserve">http://repos.bancsabadell.com/bitbucket/scm/MOBI/ms-app-account-dv.git</t>
  </si>
  <si>
    <t xml:space="preserve">0.2.12</t>
  </si>
  <si>
    <t xml:space="preserve">https://kubernetes-dashboard.apps.pro.aws.bancsabadell.com/#/configmap/pro-ns-baas/ms-app-account-dv-micros-app-configs?namespace=pro-ns-baas</t>
  </si>
  <si>
    <t xml:space="preserve">ms-baas-party-reference-data</t>
  </si>
  <si>
    <t xml:space="preserve">ms-baas-party-reference-data-micros-app-configs</t>
  </si>
  <si>
    <t xml:space="preserve">artifactory.apps.devops.aws.bancsabadell.com/p4-virtual/bsrenting/ms-baas-party-reference-data:1.5.5</t>
  </si>
  <si>
    <t xml:space="preserve">ms-baas-party-reference-data-p4ms</t>
  </si>
  <si>
    <t xml:space="preserve">http://repos.bancsabadell.com/bitbucket/scm/BSRENTING/ms-baas-party-reference-data.git</t>
  </si>
  <si>
    <t xml:space="preserve">https://kubernetes-dashboard.apps.pro.aws.bancsabadell.com/#/configmap/pro-ns-baas/ms-baas-party-reference-data-micros-app-configs?namespace=pro-ns-baas</t>
  </si>
  <si>
    <t xml:space="preserve">ms-baas-er-minorista</t>
  </si>
  <si>
    <t xml:space="preserve">ms-baas-er-minorista-micros-app-configs</t>
  </si>
  <si>
    <t xml:space="preserve">artifactory.apps.devops.aws.bancsabadell.com/p4-virtual/er/ms-baas-er-minorista:0.239.0</t>
  </si>
  <si>
    <t xml:space="preserve">ms-baas-er-minorista-p4ms</t>
  </si>
  <si>
    <t xml:space="preserve">http://repos.bancsabadell.com/bitbucket/scm/ER/ms-baas-er-minorista.git</t>
  </si>
  <si>
    <t xml:space="preserve">0.239.0</t>
  </si>
  <si>
    <t xml:space="preserve">https://kubernetes-dashboard.apps.pro.aws.bancsabadell.com/#/configmap/pro-ns-baas/ms-baas-er-minorista-micros-app-configs?namespace=pro-ns-baas</t>
  </si>
  <si>
    <t xml:space="preserve">ms-baas-bs2aeat</t>
  </si>
  <si>
    <t xml:space="preserve">ms-baas-bs2aeat-micros-app-configs</t>
  </si>
  <si>
    <t xml:space="preserve">artifactory.apps.devops.aws.bancsabadell.com/p4-virtual/esic/ms-baas-bs2aeat:2.3.5</t>
  </si>
  <si>
    <t xml:space="preserve">ms-baas-bs2aeat-p4ms</t>
  </si>
  <si>
    <t xml:space="preserve">http://repos.bancsabadell.com/bitbucket/scm/ESIC/ms-baas-bs2aeat.git</t>
  </si>
  <si>
    <t xml:space="preserve">2.3.5</t>
  </si>
  <si>
    <t xml:space="preserve">https://kubernetes-dashboard.apps.pro.aws.bancsabadell.com/#/configmap/pro-ns-baas/ms-baas-bs2aeat-micros-app-configs?namespace=pro-ns-baas</t>
  </si>
  <si>
    <t xml:space="preserve">ms-baas-customer-relationship-management-v2</t>
  </si>
  <si>
    <t xml:space="preserve">ms-baas-customer-relationship-management-v2-micros-app-configs</t>
  </si>
  <si>
    <t xml:space="preserve">artifactory.apps.devops.aws.bancsabadell.com/p4-virtual/mobi/ms-baas-customer-relationship-management-v2:1.4.5</t>
  </si>
  <si>
    <t xml:space="preserve">ms-baas-customer-relationship-management-v2-p4ms</t>
  </si>
  <si>
    <t xml:space="preserve">http://repos.bancsabadell.com/bitbucket/scm/MOBI/ms-baas-customer-relationship-management-v2.git</t>
  </si>
  <si>
    <t xml:space="preserve">https://kubernetes-dashboard.apps.pro.aws.bancsabadell.com/#/configmap/pro-ns-baas/ms-baas-customer-relationship-management-v2-micros-app-configs?namespace=pro-ns-baas</t>
  </si>
  <si>
    <t xml:space="preserve">ms-baas-position-keeping</t>
  </si>
  <si>
    <t xml:space="preserve">ms-baas-position-keeping-micros-app-configs</t>
  </si>
  <si>
    <t xml:space="preserve">artifactory.apps.devops.aws.bancsabadell.com/p4-virtual/dv/ms-baas-position-keeping:0.1.48</t>
  </si>
  <si>
    <t xml:space="preserve">ms-baas-position-keeping-p4ms</t>
  </si>
  <si>
    <t xml:space="preserve">http://repos.bancsabadell.com/bitbucket/scm/DV/ms-baas-position-keeping.git</t>
  </si>
  <si>
    <t xml:space="preserve">0.1.48</t>
  </si>
  <si>
    <t xml:space="preserve">0.1.30</t>
  </si>
  <si>
    <t xml:space="preserve">https://kubernetes-dashboard.apps.pro.aws.bancsabadell.com/#/configmap/pro-ns-baas/ms-baas-position-keeping-micros-app-configs?namespace=pro-ns-baas</t>
  </si>
  <si>
    <t xml:space="preserve">ms-baas-bank-guarantee-v2</t>
  </si>
  <si>
    <t xml:space="preserve">ms-baas-bank-guarantee-v2-micros-app-configs</t>
  </si>
  <si>
    <t xml:space="preserve">artifactory.apps.devops.aws.bancsabadell.com/p4-virtual/mobi/ms-baas-bank-guarantee-v2:1.1.5</t>
  </si>
  <si>
    <t xml:space="preserve">ms-baas-bank-guarantee-v2-p4ms</t>
  </si>
  <si>
    <t xml:space="preserve">http://repos.bancsabadell.com/bitbucket/scm/MOBI/ms-baas-bank-guarantee-v2.git</t>
  </si>
  <si>
    <t xml:space="preserve">https://kubernetes-dashboard.apps.pro.aws.bancsabadell.com/#/configmap/pro-ns-baas/ms-baas-bank-guarantee-v2-micros-app-configs?namespace=pro-ns-baas</t>
  </si>
  <si>
    <t xml:space="preserve">ms-baas-customer-case-management</t>
  </si>
  <si>
    <t xml:space="preserve">ms-baas-customer-case-management-micros-app-configs</t>
  </si>
  <si>
    <t xml:space="preserve">artifactory.apps.devops.aws.bancsabadell.com/p4-virtual/coe/ms-baas-customer-case-management:1.2.9</t>
  </si>
  <si>
    <t xml:space="preserve">ms-baas-customer-case-management-p4ms</t>
  </si>
  <si>
    <t xml:space="preserve">alvaro.vidalsolano@emeal.nttdata.com</t>
  </si>
  <si>
    <t xml:space="preserve">http://repos.bancsabadell.com/bitbucket/scm/coe/ms-baas-customer-case-management.git</t>
  </si>
  <si>
    <t xml:space="preserve">https://kubernetes-dashboard.apps.pro.aws.bancsabadell.com/#/configmap/pro-ns-baas/ms-baas-customer-case-management-micros-app-configs?namespace=pro-ns-baas</t>
  </si>
  <si>
    <t xml:space="preserve">ms-baas-appointment-reference-data-v2</t>
  </si>
  <si>
    <t xml:space="preserve">ms-baas-appointment-reference-data-v2-micros-app-configs</t>
  </si>
  <si>
    <t xml:space="preserve">artifactory.apps.devops.aws.bancsabadell.com/p4-virtual/p4cp/ms-baas-appointment-reference-data-v2:2.4.4</t>
  </si>
  <si>
    <t xml:space="preserve">ms-baas-appointment-reference-data-v2-p4ms</t>
  </si>
  <si>
    <t xml:space="preserve">http://repos.bancsabadell.com/bitbucket/scm/P4CP/ms-baas-appointment-reference-data-v2.git</t>
  </si>
  <si>
    <t xml:space="preserve">2.4.4</t>
  </si>
  <si>
    <t xml:space="preserve">1.5.4</t>
  </si>
  <si>
    <t xml:space="preserve">https://kubernetes-dashboard.apps.pro.aws.bancsabadell.com/#/configmap/pro-ns-baas/ms-baas-appointment-reference-data-v2-micros-app-configs?namespace=pro-ns-baas</t>
  </si>
  <si>
    <t xml:space="preserve">ms-baas-ccf-v2</t>
  </si>
  <si>
    <t xml:space="preserve">ms-baas-ccf-v2-micros-app-configs</t>
  </si>
  <si>
    <t xml:space="preserve">artifactory.apps.devops.aws.bancsabadell.com/p4-virtual/p4cp/ms-baas-ccf-v2:1.1.0</t>
  </si>
  <si>
    <t xml:space="preserve">ms-baas-ccf-v2-p4ms</t>
  </si>
  <si>
    <t xml:space="preserve">http://repos.bancsabadell.com/bitbucket/scm/p4cp/ms-baas-ccf-v2.git</t>
  </si>
  <si>
    <t xml:space="preserve">https://kubernetes-dashboard.apps.pro.aws.bancsabadell.com/#/configmap/pro-ns-baas/ms-baas-ccf-v2-micros-app-configs?namespace=pro-ns-baas</t>
  </si>
  <si>
    <t xml:space="preserve">Micros</t>
  </si>
  <si>
    <t xml:space="preserve">deployed in PRO</t>
  </si>
  <si>
    <t xml:space="preserve">version config</t>
  </si>
  <si>
    <t xml:space="preserve">repo micro</t>
  </si>
  <si>
    <t xml:space="preserve">repo config</t>
  </si>
  <si>
    <t xml:space="preserve">branch</t>
  </si>
  <si>
    <t xml:space="preserve">ms-baas-product-matching-baas-v1</t>
  </si>
  <si>
    <t xml:space="preserve">ms-sys-informa-docu-pe</t>
  </si>
  <si>
    <t xml:space="preserve">ms-sys-fraud-notification-redsys</t>
  </si>
  <si>
    <t xml:space="preserve">ms-sys-callcenter-data-download</t>
  </si>
  <si>
    <t xml:space="preserve">service</t>
  </si>
  <si>
    <t xml:space="preserve">url</t>
  </si>
  <si>
    <t xml:space="preserve">http_code</t>
  </si>
  <si>
    <t xml:space="preserve">status</t>
  </si>
  <si>
    <t xml:space="preserve">property_key</t>
  </si>
  <si>
    <t xml:space="preserve">property_value</t>
  </si>
  <si>
    <t xml:space="preserve">presente globales sys</t>
  </si>
  <si>
    <t xml:space="preserve">value en sys</t>
  </si>
  <si>
    <t xml:space="preserve">presente globales baas</t>
  </si>
  <si>
    <t xml:space="preserve">value en baas</t>
  </si>
  <si>
    <t xml:space="preserve">presente globales bff</t>
  </si>
  <si>
    <t xml:space="preserve">value en bff</t>
  </si>
  <si>
    <t xml:space="preserve">http://repos.bancsabadell.com/bitbucket/rest/api/1.0/projects/P4CP/repos/ms-baas-consumer-loan-v1-conf/browse/pro/configs/application.yaml?at=release/1.3.3</t>
  </si>
  <si>
    <t xml:space="preserve">release/1.3.3</t>
  </si>
  <si>
    <t xml:space="preserve">http://repos.bancsabadell.com/bitbucket/rest/api/1.0/projects/p4cp/repos/ms-batch-sinfonia-processor-conf/browse/pro/configs/application.yaml?at=release/1.0.7</t>
  </si>
  <si>
    <t xml:space="preserve">release/1.0.7</t>
  </si>
  <si>
    <t xml:space="preserve">http://repos.bancsabadell.com/bitbucket/rest/api/1.0/projects/JUST_RAROC/repos/ms-baas-special-pricing-conditions-conf/browse/pro/configs/application.yaml?at=release/0.8.19</t>
  </si>
  <si>
    <t xml:space="preserve">release/0.8.19</t>
  </si>
  <si>
    <t xml:space="preserve">http://repos.bancsabadell.com/bitbucket/rest/api/1.0/projects/P4CP/repos/ms-sys-credit-facility-online-pr-conf/browse/pro/configs/application.yaml?at=release/1.0.2</t>
  </si>
  <si>
    <t xml:space="preserve">release/1.0.2</t>
  </si>
  <si>
    <t xml:space="preserve">http://repos.bancsabadell.com/bitbucket/rest/api/1.0/projects/p4cp/repos/ms-baas-scf-packaging-conf/browse/pro/configs/application.yaml?at=release/1.0.6</t>
  </si>
  <si>
    <t xml:space="preserve">release/1.0.6</t>
  </si>
  <si>
    <t xml:space="preserve">OK</t>
  </si>
  <si>
    <t xml:space="preserve">proteo4.domain-client.services[0].base-url</t>
  </si>
  <si>
    <t xml:space="preserve">https://ms-sys-party-reference-data-pe-pro-ns-sys.apps.pro.aws.bancsabadell.com</t>
  </si>
  <si>
    <t xml:space="preserve">proteo4.domain-client.services[1].base-url</t>
  </si>
  <si>
    <t xml:space="preserve">https://ms-sys-party-reference-data-pe-v2-pro-ns-sys.apps.pro.aws.bancsabadell.com</t>
  </si>
  <si>
    <t xml:space="preserve">proteo4.domain-client.services[2].base-url</t>
  </si>
  <si>
    <t xml:space="preserve">https://ms-sys-legal-entity-directory-ee-v1-pro-ns-sys.apps.pro.aws.bancsabadell.com</t>
  </si>
  <si>
    <t xml:space="preserve">proteo4.domain-client.services[3].base-url</t>
  </si>
  <si>
    <t xml:space="preserve">https://ms-sys-consumer-loan-scf-pro-ns-sys.apps.pro.aws.bancsabadell.com</t>
  </si>
  <si>
    <t xml:space="preserve">proteo4.domain-client.services[4].base-url</t>
  </si>
  <si>
    <t xml:space="preserve">https://ms-sys-customer-relationship-management-scf-pro-ns-sys.apps.pro.aws.bancsabadell.com</t>
  </si>
  <si>
    <t xml:space="preserve">proteo4.domain-client.services[5].base-url</t>
  </si>
  <si>
    <t xml:space="preserve">https://ms-sys-card-terminal-operation-ps-pro-ns-sys.apps.pro.aws.bancsabadell.com</t>
  </si>
  <si>
    <t xml:space="preserve">proteo4.domain-client.services[6].base-url</t>
  </si>
  <si>
    <t xml:space="preserve">https://ms-sys-customer-campaign-execution-system-kx-pro-ns-sys.apps.pro.aws.bancsabadell.com</t>
  </si>
  <si>
    <t xml:space="preserve">proteo4.domain-client.services[7].base-url</t>
  </si>
  <si>
    <t xml:space="preserve">https://ms-sys-legal-entity-directory-pe-v1-pro-ns-sys.apps.pro.aws.bancsabadell.com</t>
  </si>
  <si>
    <t xml:space="preserve">proteo4.domain-client.services[8].base-url</t>
  </si>
  <si>
    <t xml:space="preserve">https://ms-sys-sales-product-agreement-system-pe-v1-pro-ns-sys.apps.pro.aws.bancsabadell.com</t>
  </si>
  <si>
    <t xml:space="preserve">http://repos.bancsabadell.com/bitbucket/rest/api/1.0/projects/P4CP/repos/ms-sys-card-terminal-operation-ps-conf/browse/pro/configs/application.yaml?at=release/1.0.2</t>
  </si>
  <si>
    <t xml:space="preserve">proteo4.error-literal.baseUrl</t>
  </si>
  <si>
    <t xml:space="preserve">https://ms-infra-literal-adapter-pro-ns-inf.apps.pro.aws.bancsabadell.com</t>
  </si>
  <si>
    <t xml:space="preserve">proteo4.mainframe-adapter.base-url</t>
  </si>
  <si>
    <t xml:space="preserve">https://ms-infra-mainframe-adapter-pro-ns-inf.apps.pro.aws.bancsabadell.com</t>
  </si>
  <si>
    <t xml:space="preserve">http://repos.bancsabadell.com/bitbucket/rest/api/1.0/projects/P4CP/repos/ms-sys-customer-campaign-execution-system-kx-conf/browse/pro/configs/application.yaml?at=release/1.0.2</t>
  </si>
  <si>
    <t xml:space="preserve">http://repos.bancsabadell.com/bitbucket/rest/api/1.0/projects/P4cp/repos/ms-baas-factoring-v1-conf/browse/pro/configs/application.yaml?at=release/1.0.6</t>
  </si>
  <si>
    <t xml:space="preserve">http://repos.bancsabadell.com/bitbucket/rest/api/1.0/projects/P4cp/repos/ms-sys-factoring-system-fa-v1-conf/browse/pro/configs/application.yaml?at=release/1.0.6</t>
  </si>
  <si>
    <t xml:space="preserve">http://repos.bancsabadell.com/bitbucket/rest/api/1.0/projects/p4cp/repos/ms-sys-confirming-kf-v1-conf/browse/pro/configs/application.yaml?at=release/1.0.8</t>
  </si>
  <si>
    <t xml:space="preserve">release/1.0.8</t>
  </si>
  <si>
    <t xml:space="preserve">proteo4.file-storage-service-platform.base-url-uploadlink</t>
  </si>
  <si>
    <t xml:space="preserve">https://content.pro.aws.bancsabadell.com/private-document-library-storage/v1</t>
  </si>
  <si>
    <t xml:space="preserve">http://repos.bancsabadell.com/bitbucket/rest/api/1.0/projects/P4CP/repos/ms-sys-xy-common-data-conf/browse/pro/configs/application.yaml?at=release/1.1.0</t>
  </si>
  <si>
    <t xml:space="preserve">release/1.1.0</t>
  </si>
  <si>
    <t xml:space="preserve">http://repos.bancsabadell.com/bitbucket/rest/api/1.0/projects/P4CP/repos/ms-sys-consumer-loan-system-pr-conf/browse/pro/configs/application.yaml?at=release/1.0.6</t>
  </si>
  <si>
    <t xml:space="preserve">http://repos.bancsabadell.com/bitbucket/rest/api/1.0/projects/P4CP/repos/ms-sys-factoring-inblock-v1-conf/browse/pro/configs/application.yaml?at=release/1.2.5</t>
  </si>
  <si>
    <t xml:space="preserve">release/1.2.5</t>
  </si>
  <si>
    <t xml:space="preserve">proteo4.file-storage-service-platform.base-url</t>
  </si>
  <si>
    <t xml:space="preserve">https://ms-storage-api-pro-ns-storage.apps.pro.aws.bancsabadell.com/private-document-library-storage/v1</t>
  </si>
  <si>
    <t xml:space="preserve">proteo4.netapp.clients[0].s3-settings.client.endpoint</t>
  </si>
  <si>
    <t xml:space="preserve">https://otm1.sgrid.es.bs/</t>
  </si>
  <si>
    <t xml:space="preserve">inblock.endpoints.base-url</t>
  </si>
  <si>
    <t xml:space="preserve">https://api.inblockaef.com/v1</t>
  </si>
  <si>
    <t xml:space="preserve">http://repos.bancsabadell.com/bitbucket/rest/api/1.0/projects/P4CP/repos/ms-batch-inblock-upload-conf/browse/pro/configs/application.yaml?at=release/1.0.4</t>
  </si>
  <si>
    <t xml:space="preserve">release/1.0.4</t>
  </si>
  <si>
    <t xml:space="preserve">https://ms-sys-factoring-inblock-v1-pro-ns-sys.apps.pro.aws.bancsabadell.com</t>
  </si>
  <si>
    <t xml:space="preserve">http://repos.bancsabadell.com/bitbucket/rest/api/1.0/projects/P4GC/repos/ms-sys-investment-account-conf/browse/pro/configs/application.yaml?at=release/1.3.1</t>
  </si>
  <si>
    <t xml:space="preserve">release/1.3.1</t>
  </si>
  <si>
    <t xml:space="preserve">downloadDocument</t>
  </si>
  <si>
    <t xml:space="preserve">https://content.pro.aws.bancsabadell.com/v1/documents/</t>
  </si>
  <si>
    <t xml:space="preserve">https://bitbucket.apps.devops.aws.bancsabadell.com/rest/api/1.0/projects/p4des/repos/ms-infra-document-manager-conf/browse/pro/configs/application.yaml?at=release/1.4.1</t>
  </si>
  <si>
    <t xml:space="preserve">release/1.4.1</t>
  </si>
  <si>
    <t xml:space="preserve">spring.kafka.properties.schema.registry.url</t>
  </si>
  <si>
    <t xml:space="preserve">https://schemaregistry.apps.pro.aws.bancsabadell.com</t>
  </si>
  <si>
    <t xml:space="preserve">http://10.236.105.11:11600</t>
  </si>
  <si>
    <t xml:space="preserve">https://bitbucket.apps.devops.aws.bancsabadell.com/rest/api/1.0/projects/P4DES/repos/ms-sys-transaction-authorization-conf/browse/pro/configs/application.yaml?at=release/1.1.0</t>
  </si>
  <si>
    <t xml:space="preserve">https://bitbucket.apps.devops.aws.bancsabadell.com/rest/api/1.0/projects/P4DES/repos/ms-baas-issued-device-administration-conf/browse/pro/configs/application.yaml?at=release/0.1.0</t>
  </si>
  <si>
    <t xml:space="preserve">release/0.1.0</t>
  </si>
  <si>
    <t xml:space="preserve">https://bitbucket.apps.devops.aws.bancsabadell.com/rest/api/1.0/projects/PP4SEC/repos/ms-infra-bot-idp-conf/browse/pro/configs/application.yaml?at=release/1.3.7</t>
  </si>
  <si>
    <t xml:space="preserve">release/1.3.7</t>
  </si>
  <si>
    <t xml:space="preserve">proteo4.webclient.services[0].base-url</t>
  </si>
  <si>
    <t xml:space="preserve">https://bots.apps.pro.aws.bancsabadell.com:443</t>
  </si>
  <si>
    <t xml:space="preserve">ms-infra-bot-idp.jwt.validation.claims.iss[0]</t>
  </si>
  <si>
    <t xml:space="preserve">http://ms-infra-security-jwt-pro-ns-inf.bancsabadell.com/</t>
  </si>
  <si>
    <t xml:space="preserve">ms-infra-bot-idp.jwt.validation.claims.iss[1]</t>
  </si>
  <si>
    <t xml:space="preserve">http://ms-infra-jwt-partners-pro-ns-inf.bancsabadell.com/</t>
  </si>
  <si>
    <t xml:space="preserve">ms-infra-bot-idp.jwt.validation.claims.iss[2]</t>
  </si>
  <si>
    <t xml:space="preserve">http://ms-infra-jwt-employees-pro-ns-inf.bancsabadell.com/</t>
  </si>
  <si>
    <t xml:space="preserve">ms-infra-bot-idp.jwt.validation.claims.iss[3]</t>
  </si>
  <si>
    <t xml:space="preserve">https://ms-infra-security-jwt-pro-ns-inf.bancsabadell.com/</t>
  </si>
  <si>
    <t xml:space="preserve">ms-infra-bot-idp.jwt.validation.claims.iss[4]</t>
  </si>
  <si>
    <t xml:space="preserve">https://ms-infra-jwt-partners-pro-ns-inf.bancsabadell.com/</t>
  </si>
  <si>
    <t xml:space="preserve">ms-infra-bot-idp.jwt.validation.claims.iss[5]</t>
  </si>
  <si>
    <t xml:space="preserve">https://ms-infra-jwt-employees-pro-ns-inf.bancsabadell.com/</t>
  </si>
  <si>
    <t xml:space="preserve">ms-infra-bot-idp.saml.properties.issuer</t>
  </si>
  <si>
    <t xml:space="preserve">https://ms-infra-bot-idp-pro-ns-inf.apps.pro.aws.bancsabadell.com</t>
  </si>
  <si>
    <t xml:space="preserve">ms-infra-bot-idp.saml.properties.recipient</t>
  </si>
  <si>
    <t xml:space="preserve">https://pro-openam-elb.pro.p4es.aws.bancsabadell.com:8443/o/Consumer/metaAlias/P4/sp</t>
  </si>
  <si>
    <t xml:space="preserve">ms-infra-bot-idp.saml.properties.audience[0]</t>
  </si>
  <si>
    <t xml:space="preserve">https://pro-openam-elb.pro.p4es.aws.bancsabadell.com:8443/o</t>
  </si>
  <si>
    <t xml:space="preserve">http://repos.bancsabadell.com/bitbucket/rest/api/1.0/projects/P4CP/repos/ms-sys-customer-offer-sv-v1-conf/browse/pro/configs/application.yaml?at=release/1.0.1</t>
  </si>
  <si>
    <t xml:space="preserve">release/1.0.1</t>
  </si>
  <si>
    <t xml:space="preserve">http://repos.bancsabadell.com/bitbucket/rest/api/1.0/projects/ENDPOINTSERVICENOWMENUDESA/repos/ms-sys-servicenow-menudesa-conf/browse/pro/configs/application.yaml?at=release/2.1.0</t>
  </si>
  <si>
    <t xml:space="preserve">release/2.1.0</t>
  </si>
  <si>
    <t xml:space="preserve">http://repos.bancsabadell.com/bitbucket/rest/api/1.0/projects/DV/repos/ms-baas-position-keeping-conf/browse/pro/configs/application.yaml?at=release/0.1.30</t>
  </si>
  <si>
    <t xml:space="preserve">release/0.1.30</t>
  </si>
  <si>
    <t xml:space="preserve">http://repos.bancsabadell.com/bitbucket/rest/api/1.0/projects/MOBI/repos/ms-sys-position-keeping-extended-v1-conf/browse/pro/configs/application.yaml?at=release/2.0.0</t>
  </si>
  <si>
    <t xml:space="preserve">release/2.0.0</t>
  </si>
  <si>
    <t xml:space="preserve">http://repos.bancsabadell.com/bitbucket/rest/api/1.0/projects/MOBI/repos/ms-baas-position-keeping-extended-v1-conf/browse/pro/configs/application.yaml?at=release/2.0.0</t>
  </si>
  <si>
    <t xml:space="preserve">operational-log-url</t>
  </si>
  <si>
    <t xml:space="preserve">https://ms-sys-operational-log-pro-ns-sys.apps.pro.aws.bancsabadell.com/v1/operational-log</t>
  </si>
  <si>
    <t xml:space="preserve">https://bitbucket.apps.devops.aws.bancsabadell.com/rest/api/1.0/projects/p4des/repos/ms-sys-notifications-conf/browse/pro/configs/application.yaml?at=release/1.5.5</t>
  </si>
  <si>
    <t xml:space="preserve">release/1.5.5</t>
  </si>
  <si>
    <t xml:space="preserve">ms-sys-notifications.messaging.client.base-url</t>
  </si>
  <si>
    <t xml:space="preserve">https://cbs.messagingcanals.bancsabadell.com:49543/axis2/services/MessagingService</t>
  </si>
  <si>
    <t xml:space="preserve">https://bitbucket.apps.devops.aws.bancsabadell.com/rest/api/1.0/projects/p4des/repos/ms-sys-notifications-hub-email-sender-conf/browse/pro/configs/application.yaml?at=release/1.0.2</t>
  </si>
  <si>
    <t xml:space="preserve">https://ms-storage-api-pro-ns-inf.apps.pro.aws.bancsabadell.com/private-document-library-storage/v1</t>
  </si>
  <si>
    <t xml:space="preserve">ms-sys-notifications-hub-email-sender.messaging.client.base-url</t>
  </si>
  <si>
    <t xml:space="preserve">http://repos.bancsabadell.com/bitbucket/rest/api/1.0/projects/p4cp/repos/ms-sys-correspondence-ia-conf/browse/pro/configs/application.yaml?at=release/1.0.9</t>
  </si>
  <si>
    <t xml:space="preserve">release/1.0.9</t>
  </si>
  <si>
    <t xml:space="preserve">apiUrl</t>
  </si>
  <si>
    <t xml:space="preserve">https://api.bancsabadell.com/front/digital/correspondence/v1</t>
  </si>
  <si>
    <t xml:space="preserve">http://repos.bancsabadell.com/bitbucket/rest/api/1.0/projects/P4CP/repos/ms-sys-correspondence-ia-v2-conf/browse/pro/configs/application.yaml?at=release/1.0.6</t>
  </si>
  <si>
    <t xml:space="preserve">https://api-exp.front.aws.bancsabadell.com/digital/correspondence/v2</t>
  </si>
  <si>
    <t xml:space="preserve">http://repos.bancsabadell.com/bitbucket/rest/api/1.0/projects/MOBI/repos/ms-sys-party-routing-profile-aa-conf/browse/pro/configs/application.yaml?at=release/0.3.3</t>
  </si>
  <si>
    <t xml:space="preserve">release/0.3.3</t>
  </si>
  <si>
    <t xml:space="preserve">http://repos.bancsabadell.com/bitbucket/rest/api/1.0/projects/P4CP/repos/ms-bff-tjmovilpinrecovery-conf/browse/pro/configs/application.yaml?at=release/0.1.6</t>
  </si>
  <si>
    <t xml:space="preserve">release/0.1.6</t>
  </si>
  <si>
    <t xml:space="preserve">http://repos.bancsabadell.com/bitbucket/rest/api/1.0/projects/MOBI/repos/ms-bff-party-reference-data-directory-v2-conf/browse/pro/configs/application.yaml?at=release/1.1.2</t>
  </si>
  <si>
    <t xml:space="preserve">release/1.1.2</t>
  </si>
  <si>
    <t xml:space="preserve">http://repos.bancsabadell.com/bitbucket/rest/api/1.0/projects/P4CP/repos/ms-bff-bs-accounts-aggregation-v1-conf/browse/pro/configs/application.yaml?at=release/0.1.3</t>
  </si>
  <si>
    <t xml:space="preserve">release/0.1.3</t>
  </si>
  <si>
    <t xml:space="preserve">http://repos.bancsabadell.com/bitbucket/rest/api/1.0/projects/p4cp/repos/ms-bff-card-financial-settlement-v1-conf/browse/pro/configs/application.yaml?at=release/0.1.12</t>
  </si>
  <si>
    <t xml:space="preserve">release/0.1.12</t>
  </si>
  <si>
    <t xml:space="preserve">http://repos.bancsabadell.com/bitbucket/rest/api/1.0/projects/p4cp/repos/ms-bff-cards-v1-conf/browse/pro/configs/application.yaml?at=release/0.1.4</t>
  </si>
  <si>
    <t xml:space="preserve">release/0.1.4</t>
  </si>
  <si>
    <t xml:space="preserve">http://repos.bancsabadell.com/bitbucket/rest/api/1.0/projects/p4cp/repos/ms-bff-credit-facility-conf/browse/pro/configs/application.yaml?at=release/0.1.10</t>
  </si>
  <si>
    <t xml:space="preserve">release/0.1.10</t>
  </si>
  <si>
    <t xml:space="preserve">http://repos.bancsabadell.com/bitbucket/rest/api/1.0/projects/MOBI/repos/ms-domain-selae-redsys-conf/browse/pro/configs/application.yaml?at=release/0.1.3</t>
  </si>
  <si>
    <t xml:space="preserve">http://repos.bancsabadell.com/bitbucket/rest/api/1.0/projects/mobi/repos/ms-bff-onfido-conf/browse/pro/configs/application.yaml?at=release/0.2.2</t>
  </si>
  <si>
    <t xml:space="preserve">release/0.2.2</t>
  </si>
  <si>
    <t xml:space="preserve">http://repos.bancsabadell.com/bitbucket/rest/api/1.0/projects/MOBI/repos/ms-bff-onfido-webhook-conf/browse/pro/configs/application.yaml?at=release/0.2.2</t>
  </si>
  <si>
    <t xml:space="preserve">http://repos.bancsabadell.com/bitbucket/rest/api/1.0/projects/P4CP/repos/ms-bff-transaction-authorization-bd-conf/browse/pro/configs/application.yaml?at=release/0.1.5</t>
  </si>
  <si>
    <t xml:space="preserve">release/0.1.5</t>
  </si>
  <si>
    <t xml:space="preserve">http://repos.bancsabadell.com/bitbucket/rest/api/1.0/projects/P4CP/repos/ms-baas-onboarding-conf/browse/pro/configs/application.yaml?at=release/0.13.1</t>
  </si>
  <si>
    <t xml:space="preserve">release/0.13.1</t>
  </si>
  <si>
    <t xml:space="preserve">http://repos.bancsabadell.com/bitbucket/rest/api/1.0/projects/P4CP/repos/ms-bff-onboarding-conf/browse/pro/configs/application.yaml?at=release/0.7.0</t>
  </si>
  <si>
    <t xml:space="preserve">release/0.7.0</t>
  </si>
  <si>
    <t xml:space="preserve">http://repos.bancsabadell.com/bitbucket/rest/api/1.0/projects/mobi/repos/ms-bff-cards-dds-v1-conf/browse/pro/configs/application.yaml?at=release/1.1.18</t>
  </si>
  <si>
    <t xml:space="preserve">release/1.1.18</t>
  </si>
  <si>
    <t xml:space="preserve">proteo4.web-client.services[0].base-url</t>
  </si>
  <si>
    <t xml:space="preserve">https://microsapi.es.bs/digital</t>
  </si>
  <si>
    <t xml:space="preserve">proteo4.web-client.services[1].base-url</t>
  </si>
  <si>
    <t xml:space="preserve">https://microsapi.es.bs/digital/party-authentication/v3</t>
  </si>
  <si>
    <t xml:space="preserve">proteo4.web-client.services[2].base-url</t>
  </si>
  <si>
    <t xml:space="preserve">proteo4.web-client.services[3].base-url</t>
  </si>
  <si>
    <t xml:space="preserve">proteo4.web-client.services[4].base-url</t>
  </si>
  <si>
    <t xml:space="preserve">proteo4.web-client.services[5].base-url</t>
  </si>
  <si>
    <t xml:space="preserve">proteo4.web-client.services[6].base-url</t>
  </si>
  <si>
    <t xml:space="preserve">http://repos.bancsabadell.com/bitbucket/rest/api/1.0/projects/P4CP/repos/ms-bff-correspondence-v3-conf/browse/pro/configs/application.yaml?at=release/1.1.9</t>
  </si>
  <si>
    <t xml:space="preserve">release/1.1.9</t>
  </si>
  <si>
    <t xml:space="preserve">http://repos.bancsabadell.com/bitbucket/rest/api/1.0/projects/P4CP/repos/ms-sys-customer-relationship-management-ags-conf/browse/pro/configs/application.yaml?at=release/1.1.4</t>
  </si>
  <si>
    <t xml:space="preserve">release/1.1.4</t>
  </si>
  <si>
    <t xml:space="preserve">proteo4.security.access-token.validation.signature.jwks-uri</t>
  </si>
  <si>
    <t xml:space="preserve">https://ms-infra-security-jwt-pro-ns-inf.apps.pro.aws.bancsabadell.com/jwt/jwk_uri</t>
  </si>
  <si>
    <t xml:space="preserve">application.loan-centralizacion-service.base-url</t>
  </si>
  <si>
    <t xml:space="preserve">http://services.proteo.bancsabadell.com/soa/service/centralizacionenvios/centralizacion/CentralizacionService</t>
  </si>
  <si>
    <t xml:space="preserve">http://repos.bancsabadell.com/bitbucket/rest/api/1.0/projects/P4CP/repos/ms-sys-merchant-acquiring-facility-system-ta-v1-conf/browse/pro/configs/application.yaml?at=release/1.0.8</t>
  </si>
  <si>
    <t xml:space="preserve">snowdrop.uri</t>
  </si>
  <si>
    <t xml:space="preserve">https://europe-west2.snowdrop-mrs.com/api/v3/merchant</t>
  </si>
  <si>
    <t xml:space="preserve">http://repos.bancsabadell.com/bitbucket/rest/api/1.0/projects/ESSABICAAPIRRBB/repos/ms-sys-icaap-irrbb-conf/browse/pro/configs/application.yaml?at=release/1.0.2</t>
  </si>
  <si>
    <t xml:space="preserve">proteo4.security-initializer.client-credentials.partners.openam.base-url</t>
  </si>
  <si>
    <t xml:space="preserve">proteo4.events.kafka.registry.url</t>
  </si>
  <si>
    <t xml:space="preserve">fss.base-url</t>
  </si>
  <si>
    <t xml:space="preserve">http://repos.bancsabadell.com/bitbucket/rest/api/1.0/projects/P4CP/repos/ms-baas-channel-activity-history-conf/browse/pro/configs/application.yaml?at=release/1.0.1</t>
  </si>
  <si>
    <t xml:space="preserve">http://repos.bancsabadell.com/bitbucket/rest/api/1.0/projects/p4cp/repos/ms-baas-customer-relationship-management-conf/browse/pro/configs/application.yaml?at=release/1.0.4</t>
  </si>
  <si>
    <t xml:space="preserve">http://repos.bancsabadell.com/bitbucket/rest/api/1.0/projects/P4CP/repos/ms-baas-appointment-reference-data-conf/browse/pro/configs/application.yaml?at=release/1.0.4</t>
  </si>
  <si>
    <t xml:space="preserve">http://repos.bancsabadell.com/bitbucket/rest/api/1.0/projects/MOBI/repos/ms-sys-customer-relationship-management-app-v1-conf/browse/pro/configs/application.yaml?at=release/1.2.2</t>
  </si>
  <si>
    <t xml:space="preserve">release/1.2.2</t>
  </si>
  <si>
    <t xml:space="preserve">external.services[0].base-url</t>
  </si>
  <si>
    <t xml:space="preserve">http://gto.pro.onpremise.bancsabadell.com:12928</t>
  </si>
  <si>
    <t xml:space="preserve">http://repos.bancsabadell.com/bitbucket/rest/api/1.0/projects/ESSABPHISHING/repos/ms-baas-outsystems-notifications-conf/browse/pro/configs/application.yaml?at=release/1.4.3</t>
  </si>
  <si>
    <t xml:space="preserve">release/1.4.3</t>
  </si>
  <si>
    <t xml:space="preserve">endpoints.document-management.url</t>
  </si>
  <si>
    <t xml:space="preserve">https://ms-sys-document-manager-pro-ns-sys.apps.pro.aws.bancsabadell.com/</t>
  </si>
  <si>
    <t xml:space="preserve">https://ms-sys-document-manager-pro-ns-sys.apps.pro.aws.bancsabadell.com</t>
  </si>
  <si>
    <t xml:space="preserve">https://ms-sys-notifications-pro-ns-sys.apps.pro.aws.bancsabadell.com</t>
  </si>
  <si>
    <t xml:space="preserve">https://ms-sys-corporate-directory-pro-ns-sys.apps.pro.aws.bancsabadell.com</t>
  </si>
  <si>
    <t xml:space="preserve">https://ms-sys-er-minorista-ex-pro-ns-sys.apps.pro.aws.bancsabadell.com</t>
  </si>
  <si>
    <t xml:space="preserve">https://ms-sys-xy-common-data-pro-ns-sys.apps.pro.aws.bancsabadell.com</t>
  </si>
  <si>
    <t xml:space="preserve">https://ms-sys-public-reference-data-system-bp-v1-pro-ns-sys.apps.pro.aws.bancsabadell.com</t>
  </si>
  <si>
    <t xml:space="preserve">https://ms-sys-doc-generator-pro-ns-sys.apps.pro.aws.bancsabadell.com</t>
  </si>
  <si>
    <t xml:space="preserve">http://repos.bancsabadell.com/bitbucket/rest/api/1.0/projects/ESIC/repos/ms-baas-aeat2bs-conf/browse/pro/configs/application.yaml?at=release/1.1.2</t>
  </si>
  <si>
    <t xml:space="preserve">http://repos.bancsabadell.com/bitbucket/rest/api/1.0/projects/ESIC/repos/ms-baas-bs2aeat-conf/browse/pro/configs/application.yaml?at=release/2.2.5</t>
  </si>
  <si>
    <t xml:space="preserve">release/2.2.5</t>
  </si>
  <si>
    <t xml:space="preserve">http://repos.bancsabadell.com/bitbucket/rest/api/1.0/projects/ESIC/repos/ms-sys-aeat2bs-conf/browse/pro/configs/application.yaml?at=release/1.1.1</t>
  </si>
  <si>
    <t xml:space="preserve">release/1.1.1</t>
  </si>
  <si>
    <t xml:space="preserve">http://repos.bancsabadell.com/bitbucket/rest/api/1.0/projects/p4cp/repos/ms-baas-correspondence-v1-conf/browse/pro/configs/application.yaml?at=release/0.2.2</t>
  </si>
  <si>
    <t xml:space="preserve">https://ms-sys-enrollment-ip-v1-pro-ns-sys.apps.pro.aws.bancsabadell.com</t>
  </si>
  <si>
    <t xml:space="preserve">https://ms-sys-correspondence-bd-pro-ns-sys.apps.pro.aws.bancsabadell.com</t>
  </si>
  <si>
    <t xml:space="preserve">https://ms-sys-redsys-pro-ns-sys.apps.pro.aws.bancsabadell.com</t>
  </si>
  <si>
    <t xml:space="preserve">https://ms-sys-context-payments-pro-ns-sys.apps.pro.aws.bancsabadell.com</t>
  </si>
  <si>
    <t xml:space="preserve">https://ms-sys-customer-event-history-oa-pro-ns-sys.apps.pro.aws.bancsabadell.com</t>
  </si>
  <si>
    <t xml:space="preserve">https://ms-sys-payment-instruction-ip-pro-ns-sys.apps.pro.aws.bancsabadell.com</t>
  </si>
  <si>
    <t xml:space="preserve">app.endpoints.service.partyauth.basepath</t>
  </si>
  <si>
    <t xml:space="preserve">https://microsapi.es.bs/digital/party-authentication/v3/</t>
  </si>
  <si>
    <t xml:space="preserve">http://repos.bancsabadell.com/bitbucket/rest/api/1.0/projects/p4cp/repos/ms-sys-enrollment-ip-v1-conf/browse/pro/configs/application.yaml?at=release/0.1.3</t>
  </si>
  <si>
    <t xml:space="preserve">http://repos.bancsabadell.com/bitbucket/rest/api/1.0/projects/P4CP/repos/ms-sys-payment-instruction-ip-conf/browse/pro/configs/application.yaml?at=release/0.0.3</t>
  </si>
  <si>
    <t xml:space="preserve">release/0.0.3</t>
  </si>
  <si>
    <t xml:space="preserve">http://repos.bancsabadell.com/bitbucket/rest/api/1.0/projects/p4cp/repos/ms-sys-redsys-conf/browse/pro/configs/application.yaml?at=release/1.1.2</t>
  </si>
  <si>
    <t xml:space="preserve">endpoint.base-url</t>
  </si>
  <si>
    <t xml:space="preserve">https://ppii.redsys.es/sva-c2er/services/autenticacion/RTP/</t>
  </si>
  <si>
    <t xml:space="preserve">endpoint.cancelacion-base-url</t>
  </si>
  <si>
    <t xml:space="preserve">https://ppii.redsys.es/sva-c2er/services/business/administracion/MIT/</t>
  </si>
  <si>
    <t xml:space="preserve">endpoint.mitusuario-base-url</t>
  </si>
  <si>
    <t xml:space="preserve">https://ppii.redsys.es/sva-consultas/services/consultas/c2er/</t>
  </si>
  <si>
    <t xml:space="preserve">endpoint.pending-operations-base-url</t>
  </si>
  <si>
    <t xml:space="preserve">https://ppii.redsys.es/sva-consultas/services/consultas/comun/</t>
  </si>
  <si>
    <t xml:space="preserve">endpoint.transferences-base-url</t>
  </si>
  <si>
    <t xml:space="preserve">http://repos.bancsabadell.com/bitbucket/rest/api/1.0/projects/p4cp/repos/ms-baas-payment-order-v1-conf/browse/pro/configs/application.yaml?at=release/1.2.4</t>
  </si>
  <si>
    <t xml:space="preserve">release/1.2.4</t>
  </si>
  <si>
    <t xml:space="preserve">http://repos.bancsabadell.com/bitbucket/rest/api/1.0/projects/p4cp/repos/ms-sys-payment-initiation-xs-v1-conf/browse/pro/configs/application.yaml?at=release/1.0.0</t>
  </si>
  <si>
    <t xml:space="preserve">release/1.0.0</t>
  </si>
  <si>
    <t xml:space="preserve">http://repos.bancsabadell.com/bitbucket/rest/api/1.0/projects/P4CP/repos/ms-sys-doc-generator-conf/browse/pro/configs/application.yaml?at=release/1.0.2</t>
  </si>
  <si>
    <t xml:space="preserve">proteo4.doc-generator.papyrus.base-url</t>
  </si>
  <si>
    <t xml:space="preserve">https://ms-infra-doc-generator-pro-ns-inf.apps.pro.aws.bancsabadell.com</t>
  </si>
  <si>
    <t xml:space="preserve">http://repos.bancsabadell.com/bitbucket/rest/api/1.0/projects/P4CP/repos/ms-sys-public-reference-data-system-bp-v1-conf/browse/pro/configs/application.yaml?at=release/1.1.0</t>
  </si>
  <si>
    <t xml:space="preserve">http://repos.bancsabadell.com/bitbucket/rest/api/1.0/projects/P4CP/repos/ms-baas-ccf-conf/browse/pro/configs/application.yaml?at=release/2.0.1</t>
  </si>
  <si>
    <t xml:space="preserve">release/2.0.1</t>
  </si>
  <si>
    <t xml:space="preserve">http://repos.bancsabadell.com/bitbucket/rest/api/1.0/projects/INTERCAM/repos/ms-sys-ccf-conf/browse/pro/configs/application.yaml?at=release/2.0.1</t>
  </si>
  <si>
    <t xml:space="preserve">http://repos.bancsabadell.com/bitbucket/rest/api/1.0/projects/p4cp/repos/ms-batch-payment-rail-operations-iberpay-conf/browse/pro/configs/application.yaml?at=release/1.1.5</t>
  </si>
  <si>
    <t xml:space="preserve">release/1.1.5</t>
  </si>
  <si>
    <t xml:space="preserve">http://iberpay.bancsabadell.com:15001/IBP/SCTinst/0081/Rv2/</t>
  </si>
  <si>
    <t xml:space="preserve">http://repos.bancsabadell.com/bitbucket/rest/api/1.0/projects/P4CP/repos/ms-sys-payment-rail-operations-auxiliary-conf/browse/pro/configs/application.yaml?at=release/1.0.1</t>
  </si>
  <si>
    <t xml:space="preserve">http://repos.bancsabadell.com/bitbucket/rest/api/1.0/projects/P4CP/repos/ms-sys-payment-rail-operations-iberpay-conf/browse/pro/configs/application.yaml?at=release/1.1.3</t>
  </si>
  <si>
    <t xml:space="preserve">release/1.1.3</t>
  </si>
  <si>
    <t xml:space="preserve">http://iberpay.bancsabadell.com:17001/IBP/SCTinst/0081/Rv2/</t>
  </si>
  <si>
    <t xml:space="preserve">http://repos.bancsabadell.com/bitbucket/rest/api/1.0/projects/p4cp/repos/ms-sys-payment-rail-operations-ip-unavailability-conf/browse/pro/configs/application.yaml?at=release/1.0.1</t>
  </si>
  <si>
    <t xml:space="preserve">http://repos.bancsabadell.com/bitbucket/rest/api/1.0/projects/P4CP/repos/ms-sys-payment-rail-operations-notifications-v2-conf/browse/pro/configs/application.yaml?at=release/1.0.0</t>
  </si>
  <si>
    <t xml:space="preserve">http://repos.bancsabadell.com/bitbucket/rest/api/1.0/projects/p4cp/repos/ms-sys-payment-rail-operations-reception-ip-conf/browse/pro/configs/application.yaml?at=release/1.0.2</t>
  </si>
  <si>
    <t xml:space="preserve">http://repos.bancsabadell.com/bitbucket/rest/api/1.0/projects/P4CP/repos/ms-sys-payment-rail-operations-reclaims-conf/browse/pro/configs/application.yaml?at=release/1.0.4</t>
  </si>
  <si>
    <t xml:space="preserve">http://repos.bancsabadell.com/bitbucket/rest/api/1.0/projects/ESALTACLI/repos/ms-baas-bs-accounts-aggregation-conf/browse/pro/configs/application.yaml?at=release/1.2.1</t>
  </si>
  <si>
    <t xml:space="preserve">release/1.2.1</t>
  </si>
  <si>
    <t xml:space="preserve">proteo4.operational-log-url</t>
  </si>
  <si>
    <t xml:space="preserve">https://ms-sys-bs-accounts-aggregation-pro-ns-sys.apps.pro.aws.bancsabadell.com</t>
  </si>
  <si>
    <t xml:space="preserve">https://ms-sys-public-reference-data-management-dv-pro-ns-sys.apps.pro.aws.bancsabadell.com</t>
  </si>
  <si>
    <t xml:space="preserve">https://ms-sys-transaction-authorization-bd-pro-ns-sys.apps.pro.aws.bancsabadell.com</t>
  </si>
  <si>
    <t xml:space="preserve">proteo4.ms-sys-document-manager</t>
  </si>
  <si>
    <t xml:space="preserve">https://ms-sys-document-manager-pro-ns-sys.apps.pro.aws.bancsabadell.com/document-library/v2</t>
  </si>
  <si>
    <t xml:space="preserve">https://openapi.bancsabadell.com/digital/bs-accounts-aggregation/v1</t>
  </si>
  <si>
    <t xml:space="preserve">http://repos.bancsabadell.com/bitbucket/rest/api/1.0/projects/ESSABCONNECTEDCLIENT/repos/ms-baas-connected-client-conf/browse/pro/configs/application.yaml?at=release/1.1.0</t>
  </si>
  <si>
    <t xml:space="preserve">http://repos.bancsabadell.com/bitbucket/rest/api/1.0/projects/API-SINCERTIF/repos/ms-baas-correos-cash-v1-conf/browse/pro/configs/application.yaml?at=release/0.1.7</t>
  </si>
  <si>
    <t xml:space="preserve">release/0.1.7</t>
  </si>
  <si>
    <t xml:space="preserve">http://repos.bancsabadell.com/bitbucket/rest/api/1.0/projects/BSRENTING/repos/ms-baas-party-reference-data-conf/browse/pro/configs/application.yaml?at=release/1.7.3</t>
  </si>
  <si>
    <t xml:space="preserve">release/1.7.3</t>
  </si>
  <si>
    <t xml:space="preserve">http://repos.bancsabadell.com/bitbucket/rest/api/1.0/projects/POOJJ/repos/ms-baas-term-deposit-conf/browse/pro/configs/application.yaml?at=release/1.0.0</t>
  </si>
  <si>
    <t xml:space="preserve">http://repos.bancsabadell.com/bitbucket/rest/api/1.0/projects/ESALTACLI/repos/ms-sys-bs-accounts-aggregation-conf/browse/pro/configs/application.yaml?at=release/1.2.7</t>
  </si>
  <si>
    <t xml:space="preserve">release/1.2.7</t>
  </si>
  <si>
    <t xml:space="preserve">http://repos.bancsabadell.com/bitbucket/rest/api/1.0/projects/API-SINCERTIF/repos/ms-sys-correos-cash-accounts-v1-conf/browse/pro/configs/application.yaml?at=release/0.1.3</t>
  </si>
  <si>
    <t xml:space="preserve">http://repos.bancsabadell.com/bitbucket/rest/api/1.0/projects/API-SINCERTIF/repos/ms-sys-correos-cash-people-v1-conf/browse/pro/configs/application.yaml?at=release/0.1.4</t>
  </si>
  <si>
    <t xml:space="preserve">http://repos.bancsabadell.com/bitbucket/rest/api/1.0/projects/POOJJ/repos/ms-sys-customer-offer-pz-conf/browse/pro/configs/application.yaml?at=release/1.0.1</t>
  </si>
  <si>
    <t xml:space="preserve">http://repos.bancsabadell.com/bitbucket/rest/api/1.0/projects/P4CP/repos/ms-sys-legal-entity-directory-ee-v1-conf/browse/pro/configs/application.yaml?at=release/0.0.2</t>
  </si>
  <si>
    <t xml:space="preserve">release/0.0.2</t>
  </si>
  <si>
    <t xml:space="preserve">http://repos.bancsabadell.com/bitbucket/rest/api/1.0/projects/P4CP/repos/ms-sys-legal-entity-directory-pe-v1-conf/browse/pro/configs/application.yaml?at=release/1.0.2</t>
  </si>
  <si>
    <t xml:space="preserve">http://repos.bancsabadell.com/bitbucket/rest/api/1.0/projects/P4CP/repos/ms-sys-party-reference-data-pe-conf/browse/pro/configs/application.yaml?at=release/1.6.2</t>
  </si>
  <si>
    <t xml:space="preserve">release/1.6.2</t>
  </si>
  <si>
    <t xml:space="preserve">http://repos.bancsabadell.com/bitbucket/rest/api/1.0/projects/P4CP/repos/ms-sys-party-reference-data-pe-v2-conf/browse/pro/configs/application.yaml?at=release/1.0.6</t>
  </si>
  <si>
    <t xml:space="preserve">proteo4.doc-generator.papyrus.base-url-api</t>
  </si>
  <si>
    <t xml:space="preserve">https://ms-sys-generator-api-pro-ns-sys.apps.pro.aws.bancsabadell.com</t>
  </si>
  <si>
    <t xml:space="preserve">http://repos.bancsabadell.com/bitbucket/rest/api/1.0/projects/ESSABCONNECTEDCLIENT/repos/ms-sys-pe-connected-client-conf/browse/pro/configs/application.yaml?at=release/1.0.0</t>
  </si>
  <si>
    <t xml:space="preserve">http://repos.bancsabadell.com/bitbucket/rest/api/1.0/projects/POOJJ/repos/ms-sys-product-directory-kc-conf/browse/pro/configs/application.yaml?at=release/1.0.1</t>
  </si>
  <si>
    <t xml:space="preserve">http://repos.bancsabadell.com/bitbucket/rest/api/1.0/projects/P4CP/repos/ms-sys-public-reference-data-management-dv-conf/browse/pro/configs/application.yaml?at=release/1.0.5</t>
  </si>
  <si>
    <t xml:space="preserve">release/1.0.5</t>
  </si>
  <si>
    <t xml:space="preserve">http://repos.bancsabadell.com/bitbucket/rest/api/1.0/projects/mobi/repos/ms-baas-legal-entity-directory-pe-v1-conf/browse/pro/configs/application.yaml?at=release/0.1.3</t>
  </si>
  <si>
    <t xml:space="preserve">sys.services[0].base-url</t>
  </si>
  <si>
    <t xml:space="preserve">https://ms-sys-customer-access-entitlement-pe-v1-pro-ns-sys.apps.pro.aws.bancsabadell.com</t>
  </si>
  <si>
    <t xml:space="preserve">http://repos.bancsabadell.com/bitbucket/rest/api/1.0/projects/ESSABCONNECTEDCLIENT/repos/ms-batch-connected-client-conf/browse/pro/configs/application.yaml?at=release/1.0.3</t>
  </si>
  <si>
    <t xml:space="preserve">release/1.0.3</t>
  </si>
  <si>
    <t xml:space="preserve">https://ms-sys-connected-client-db-pro-ns-sys.apps.pro.aws.bancsabadell.com</t>
  </si>
  <si>
    <t xml:space="preserve">https://ms-sys-pe-connected-client-pro-ns-sys.apps.pro.aws.bancsabadell.com</t>
  </si>
  <si>
    <t xml:space="preserve">https://ms-sys-customer-manager-ge-pro-ns-sys.apps.pro.aws.bancsabadell.com</t>
  </si>
  <si>
    <t xml:space="preserve">proteo4.security.access-token.validation.claims.issuer</t>
  </si>
  <si>
    <t xml:space="preserve">https://pro-uat-openam-elb.pro.p4es.aws.bancsabadell.com:8443/openam</t>
  </si>
  <si>
    <t xml:space="preserve">http://repos.bancsabadell.com/bitbucket/rest/api/1.0/projects/INFO/repos/ms-batch-informa-docu-pe-conf/browse/pro/configs/application.yaml?at=release/2.0.4</t>
  </si>
  <si>
    <t xml:space="preserve">release/2.0.4</t>
  </si>
  <si>
    <t xml:space="preserve">http://repos.bancsabadell.com/bitbucket/rest/api/1.0/projects/PCCM/repos/ms-baas-pccm-conf/browse/pro/configs/application.yaml?at=release/1.0.4</t>
  </si>
  <si>
    <t xml:space="preserve">http://repos.bancsabadell.com/bitbucket/rest/api/1.0/projects/PCCM/repos/ms-sys-pccm-conf/browse/pro/configs/application.yaml?at=release/1.0.13</t>
  </si>
  <si>
    <t xml:space="preserve">release/1.0.13</t>
  </si>
  <si>
    <t xml:space="preserve">http://repos.bancsabadell.com/bitbucket/rest/api/1.0/projects/ER/repos/ms-baas-er-minorista-conf/browse/pro/configs/application.yaml?at=release/0.1.28</t>
  </si>
  <si>
    <t xml:space="preserve">release/0.1.28</t>
  </si>
  <si>
    <t xml:space="preserve">http://repos.bancsabadell.com/bitbucket/rest/api/1.0/projects/ER/repos/ms-sys-er-minorista-mo-conf/browse/pro/configs/application.yaml?at=release/0.1.9</t>
  </si>
  <si>
    <t xml:space="preserve">release/0.1.9</t>
  </si>
  <si>
    <t xml:space="preserve">http://repos.bancsabadell.com/bitbucket/rest/api/1.0/projects/ER/repos/ms-sys-er-minorista-sp-conf/browse/pro/configs/application.yaml?at=release/0.1.5</t>
  </si>
  <si>
    <t xml:space="preserve">http://repos.bancsabadell.com/bitbucket/rest/api/1.0/projects/P4CP/repos/ms-sys-delinquent-account-handling-em-conf/browse/pro/configs/application.yaml?at=release/1.0.0</t>
  </si>
  <si>
    <t xml:space="preserve">http://repos.bancsabadell.com/bitbucket/rest/api/1.0/projects/ER/repos/ms-sys-er-minorista-bn-conf/browse/pro/configs/application.yaml?at=release/0.1.10</t>
  </si>
  <si>
    <t xml:space="preserve">http://repos.bancsabadell.com/bitbucket/rest/api/1.0/projects/ER/repos/ms-sys-er-minorista-ex-conf/browse/pro/configs/application.yaml?at=release/1.29.5</t>
  </si>
  <si>
    <t xml:space="preserve">release/1.29.5</t>
  </si>
  <si>
    <t xml:space="preserve">http://repos.bancsabadell.com/bitbucket/rest/api/1.0/projects/ER/repos/ms-sys-er-minorista-ij-conf/browse/pro/configs/application.yaml?at=release/0.1.6</t>
  </si>
  <si>
    <t xml:space="preserve">http://repos.bancsabadell.com/bitbucket/rest/api/1.0/projects/ER/repos/ms-sys-er-minorista-ry-conf/browse/pro/configs/application.yaml?at=release/0.1.11</t>
  </si>
  <si>
    <t xml:space="preserve">release/0.1.11</t>
  </si>
  <si>
    <t xml:space="preserve">http://repos.bancsabadell.com/bitbucket/rest/api/1.0/projects/p4cp/repos/ms-baas-jst-document-processing-conf/browse/pro/configs/application.yaml?at=release/1.0.2</t>
  </si>
  <si>
    <t xml:space="preserve">http://repos.bancsabadell.com/bitbucket/rest/api/1.0/projects/ESRAROC/repos/ms-baas-creditmanagement-conf/browse/pro/configs/application.yaml?at=release/0.1.15</t>
  </si>
  <si>
    <t xml:space="preserve">release/0.1.15</t>
  </si>
  <si>
    <t xml:space="preserve">http://repos.bancsabadell.com/bitbucket/rest/api/1.0/projects/ESRAROC/repos/ms-sys-creditmanagement-conf/browse/pro/configs/application.yaml?at=release/0.3.17</t>
  </si>
  <si>
    <t xml:space="preserve">release/0.3.17</t>
  </si>
  <si>
    <t xml:space="preserve">http://repos.bancsabadell.com/bitbucket/rest/api/1.0/projects/POOJJ/repos/ms-batch-async-cgpj-conf/browse/pro/configs/application.yaml?at=release/1.1.0</t>
  </si>
  <si>
    <t xml:space="preserve">http://repos.bancsabadell.com/bitbucket/rest/api/1.0/projects/poojj/repos/ms-baas-regulatory-and-legal-authority-conf/browse/pro/configs/application.yaml?at=release/1.0.6</t>
  </si>
  <si>
    <t xml:space="preserve">http://repos.bancsabadell.com/bitbucket/rest/api/1.0/projects/poojj/repos/ms-sys-regulatory-and-legal-authority-conf/browse/pro/configs/application.yaml?at=release/1.0.3</t>
  </si>
  <si>
    <t xml:space="preserve">http://repos.bancsabadell.com/bitbucket/rest/api/1.0/projects/P4CP/repos/ms-sys-customer-access-entitlement-oa-v1-conf/browse/pro/configs/application.yaml?at=release/0.0.14</t>
  </si>
  <si>
    <t xml:space="preserve">release/0.0.14</t>
  </si>
  <si>
    <t xml:space="preserve">http://repos.bancsabadell.com/bitbucket/rest/api/1.0/projects/P4CP/repos/ms-baas-customer-product-and-service-eligibility-conf/browse/pro/configs/application.yaml?at=release/1.0.1</t>
  </si>
  <si>
    <t xml:space="preserve">http://repos.bancsabadell.com/bitbucket/rest/api/1.0/projects/P4CP/repos/ms-sys-customer-product-and-service-eleg-oa-v2-conf/browse/pro/configs/application.yaml?at=release/0.2.3</t>
  </si>
  <si>
    <t xml:space="preserve">release/0.2.3</t>
  </si>
  <si>
    <t xml:space="preserve">http://repos.bancsabadell.com/bitbucket/rest/api/1.0/projects/MOBI/repos/ms-sys-party-reference-data-bd-v1-conf/browse/pro/configs/application.yaml?at=release/1.0.0</t>
  </si>
  <si>
    <t xml:space="preserve">http://repos.bancsabadell.com/bitbucket/rest/api/1.0/projects/P4CP/repos/ms-baas-card-financial-settlement-conf/browse/pro/configs/application.yaml?at=release/1.0.3</t>
  </si>
  <si>
    <t xml:space="preserve">http://repos.bancsabadell.com/bitbucket/rest/api/1.0/projects/P4CP/repos/ms-sys-card-hiring-ih-conf/browse/pro/configs/application.yaml?at=release/1.1.9</t>
  </si>
  <si>
    <t xml:space="preserve">http://repos.bancsabadell.com/bitbucket/rest/api/1.0/projects/P4CP/repos/ms-sys-card-details-ih-conf/browse/pro/configs/application.yaml?at=release/1.0.8</t>
  </si>
  <si>
    <t xml:space="preserve">http://repos.bancsabadell.com/bitbucket/rest/api/1.0/projects/P4CP/repos/ms-baas-card-hiring-conf/browse/pro/configs/application.yaml?at=release/1.1.17</t>
  </si>
  <si>
    <t xml:space="preserve">release/1.1.17</t>
  </si>
  <si>
    <t xml:space="preserve">http://repos.bancsabadell.com/bitbucket/rest/api/1.0/projects/P4CP/repos/ms-baas-cards-redsys-v1-conf/browse/pro/configs/application.yaml?at=release/1.0.6</t>
  </si>
  <si>
    <t xml:space="preserve">http://repos.bancsabadell.com/bitbucket/rest/api/1.0/projects/P4CP/repos/ms-baas-card-position-keeping-conf/browse/pro/configs/application.yaml?at=release/1.0.2</t>
  </si>
  <si>
    <t xml:space="preserve">https://ms-sys-card-position-keeping-v1-pro-ns-sys.apps.pro.aws.bancsabadell.com</t>
  </si>
  <si>
    <t xml:space="preserve">https://ms-sys-card-details-ih-pro-ns-sys.apps.pro.aws.bancsabadell.com</t>
  </si>
  <si>
    <t xml:space="preserve">https://ms-sys-merchant-acquiring-facility-system-ta-v1-pro-ns-sys.apps.pro.aws.bancsabadell.com</t>
  </si>
  <si>
    <t xml:space="preserve">http://repos.bancsabadell.com/bitbucket/rest/api/1.0/projects/P4CP/repos/ms-batch-fraud-notification-redsys-conf/browse/pro/configs/application.yaml?at=release/1.0.2</t>
  </si>
  <si>
    <t xml:space="preserve">proteo4.openam-partner.base-url</t>
  </si>
  <si>
    <t xml:space="preserve">https://ms-infra-jwt-security-pro-ns-inf.apps.pro.aws.bancsabadell.com</t>
  </si>
  <si>
    <t xml:space="preserve">proteo4.mainframe-adapter.literal-adapter.base-url</t>
  </si>
  <si>
    <t xml:space="preserve">https://hub.redsys.es:443/</t>
  </si>
  <si>
    <t xml:space="preserve">http://repos.bancsabadell.com/bitbucket/rest/api/1.0/projects/P4CP/repos/ms-sys-branch-location-management-bs-conf/browse/pro/configs/application.yaml?at=release/1.1.0</t>
  </si>
  <si>
    <t xml:space="preserve">http://repos.bancsabadell.com/bitbucket/rest/api/1.0/projects/P4CP/repos/ms-sys-card-position-keeping-v1-conf/browse/pro/configs/application.yaml?at=release/1.0.3</t>
  </si>
  <si>
    <t xml:space="preserve">http://ms-infra-mainframe-adapter-pro-ns-inf.apps.pro.aws.bancsabadell.com</t>
  </si>
  <si>
    <t xml:space="preserve">http://repos.bancsabadell.com/bitbucket/rest/api/1.0/projects/P4CP/repos/ms-baas-card-case-digital-conf/browse/pro/configs/application.yaml?at=release/1.0.6</t>
  </si>
  <si>
    <t xml:space="preserve">http://repos.bancsabadell.com/bitbucket/rest/api/1.0/projects/p4cp/repos/ms-batch-balance-list-redsys-conf/browse/pro/configs/application.yaml?at=release/1.0.4</t>
  </si>
  <si>
    <t xml:space="preserve">proteo4.security-batch.auth-endpoints.url-access-token</t>
  </si>
  <si>
    <t xml:space="preserve">https://pro-openam-elb.pro.p4es.aws.bancsabadell.com:8443/o/oauth2/realms/partners/access_token</t>
  </si>
  <si>
    <t xml:space="preserve">proteo4.security-batch.auth-endpoints.url-technical-token</t>
  </si>
  <si>
    <t xml:space="preserve">https://ms-infra-jwt-partners-pro-ns-inf.apps.pro.aws.bancsabadell.com/jwt/security</t>
  </si>
  <si>
    <t xml:space="preserve">http://ms-infra-literal-adapter-pro-ns-inf.apps.pro.aws.bancsabadell.com</t>
  </si>
  <si>
    <t xml:space="preserve">redsys.uri</t>
  </si>
  <si>
    <t xml:space="preserve">https://apis.redsys.es/settlement/justificacion-contable/v1/balance-list</t>
  </si>
  <si>
    <t xml:space="preserve">http://repos.bancsabadell.com/bitbucket/rest/api/1.0/projects/P4CP/repos/ms-sys-fraud-diagnosis-system-ih-v1-conf/browse/pro/configs/application.yaml?at=release/1.0.6</t>
  </si>
  <si>
    <t xml:space="preserve">http://repos.bancsabadell.com/bitbucket/rest/api/1.0/projects/ESTC/repos/ms-baas-c2c-validation-conf/browse/pro/configs/application.yaml?at=release/0.0.6</t>
  </si>
  <si>
    <t xml:space="preserve">release/0.0.6</t>
  </si>
  <si>
    <t xml:space="preserve">http://repos.bancsabadell.com/bitbucket/rest/api/1.0/projects/ESACCESODATO/repos/ms-baas-consumo-datos-conf/browse/pro/configs/application.yaml?at=release/1.0.9</t>
  </si>
  <si>
    <t xml:space="preserve">http://repos.bancsabadell.com/bitbucket/rest/api/1.0/projects/MOBI/repos/ms-sys-interactive-help-zendesk-v1-conf/browse/pro/configs/application.yaml?at=release/1.0.20</t>
  </si>
  <si>
    <t xml:space="preserve">release/1.0.20</t>
  </si>
  <si>
    <t xml:space="preserve">https://bancsabadell.zendesk.com/api/v2/help_center</t>
  </si>
  <si>
    <t xml:space="preserve">ns-sys-global-p4-micros-arch</t>
  </si>
  <si>
    <t xml:space="preserve">https://bitbucket.apps.devops.aws.bancsabadell.com/rest/api/1.0/projects/P4DES/repos/ns-sys-global-p4-micros-arch/browse/pro/configs/application.yaml?at=release/1.28.7</t>
  </si>
  <si>
    <t xml:space="preserve">release/1.28.7</t>
  </si>
  <si>
    <t xml:space="preserve">management.endpoints.web.exposure.include</t>
  </si>
  <si>
    <t xml:space="preserve">info,health,prometheus</t>
  </si>
  <si>
    <t xml:space="preserve">management.server.servlet.context-path</t>
  </si>
  <si>
    <t xml:space="preserve">/actuator</t>
  </si>
  <si>
    <t xml:space="preserve">management.endpoint.health.show-details</t>
  </si>
  <si>
    <t xml:space="preserve">always</t>
  </si>
  <si>
    <t xml:space="preserve">management.endpoint.health.show-components</t>
  </si>
  <si>
    <t xml:space="preserve">management.endpoint.health.group.readiness.include</t>
  </si>
  <si>
    <t xml:space="preserve">readinessState,warmup</t>
  </si>
  <si>
    <t xml:space="preserve">management.health.probes.enabled</t>
  </si>
  <si>
    <t xml:space="preserve">True</t>
  </si>
  <si>
    <t xml:space="preserve">server.port</t>
  </si>
  <si>
    <t xml:space="preserve">server.forward-headers-strategy</t>
  </si>
  <si>
    <t xml:space="preserve">NONE</t>
  </si>
  <si>
    <t xml:space="preserve">server.max-http-header-size</t>
  </si>
  <si>
    <t xml:space="preserve">15KB</t>
  </si>
  <si>
    <t xml:space="preserve">proteo4.web-client.limit-max-in-memory-size</t>
  </si>
  <si>
    <t xml:space="preserve">proteo4.web-client.propagated-headers[0]</t>
  </si>
  <si>
    <t xml:space="preserve">Authorization</t>
  </si>
  <si>
    <t xml:space="preserve">proteo4.web-client.propagated-headers[1]</t>
  </si>
  <si>
    <t xml:space="preserve">Accept-Language</t>
  </si>
  <si>
    <t xml:space="preserve">proteo4.web-client.propagated-headers[2]</t>
  </si>
  <si>
    <t xml:space="preserve">Cookie</t>
  </si>
  <si>
    <t xml:space="preserve">proteo4.web-client.propagated-headers[3]</t>
  </si>
  <si>
    <t xml:space="preserve">Content-Language</t>
  </si>
  <si>
    <t xml:space="preserve">proteo4.web-client.propagated-headers[4]</t>
  </si>
  <si>
    <t xml:space="preserve">User-Agent</t>
  </si>
  <si>
    <t xml:space="preserve">proteo4.web-client.propagated-headers[5]</t>
  </si>
  <si>
    <t xml:space="preserve">x-instance-id</t>
  </si>
  <si>
    <t xml:space="preserve">proteo4.web-client.propagated-headers[6]</t>
  </si>
  <si>
    <t xml:space="preserve">X-Forwarded-For</t>
  </si>
  <si>
    <t xml:space="preserve">proteo4.web-client.propagated-headers[7]</t>
  </si>
  <si>
    <t xml:space="preserve">X-Auth</t>
  </si>
  <si>
    <t xml:space="preserve">proteo4.web-client.propagated-headers[8]</t>
  </si>
  <si>
    <t xml:space="preserve">x-dynatrace-application</t>
  </si>
  <si>
    <t xml:space="preserve">proteo4.web-client.propagated-headers[9]</t>
  </si>
  <si>
    <t xml:space="preserve">x-dynatrace-origin-url</t>
  </si>
  <si>
    <t xml:space="preserve">proteo4.web-client.propagated-headers[10]</t>
  </si>
  <si>
    <t xml:space="preserve">x-dynatrace-requeststate</t>
  </si>
  <si>
    <t xml:space="preserve">proteo4.web-client.propagated-headers[11]</t>
  </si>
  <si>
    <t xml:space="preserve">25df5dad0a39ec8a6a36be8dcb9153806ca9691401dfb28bca8aab9d85fbd876</t>
  </si>
  <si>
    <t xml:space="preserve">proteo4.http.client.propagated-headers[0]</t>
  </si>
  <si>
    <t xml:space="preserve">proteo4.http.client.propagated-headers[1]</t>
  </si>
  <si>
    <t xml:space="preserve">proteo4.http.client.propagated-headers[2]</t>
  </si>
  <si>
    <t xml:space="preserve">proteo4.http.client.propagated-headers[3]</t>
  </si>
  <si>
    <t xml:space="preserve">proteo4.http.client.propagated-headers[4]</t>
  </si>
  <si>
    <t xml:space="preserve">proteo4.http.client.propagated-headers[5]</t>
  </si>
  <si>
    <t xml:space="preserve">proteo4.http.client.propagated-headers[6]</t>
  </si>
  <si>
    <t xml:space="preserve">proteo4.http.client.propagated-headers[7]</t>
  </si>
  <si>
    <t xml:space="preserve">proteo4.http.client.propagated-headers[8]</t>
  </si>
  <si>
    <t xml:space="preserve">proteo4.http.client.propagated-headers[9]</t>
  </si>
  <si>
    <t xml:space="preserve">proteo4.openam-client.base-url</t>
  </si>
  <si>
    <t xml:space="preserve">proteo4.openam-client.endpoints.introspect</t>
  </si>
  <si>
    <t xml:space="preserve">/oauth2/realms/${proteo4.access-token-provider.client-credentials.realm:P4}/introspect</t>
  </si>
  <si>
    <t xml:space="preserve">proteo4.openam-client.endpoints.userinfo</t>
  </si>
  <si>
    <t xml:space="preserve">/oauth2/realms/${proteo4.access-token-provider.client-credentials.realm:P4}/userinfo</t>
  </si>
  <si>
    <t xml:space="preserve">proteo4.openam-client.endpoints.accessToken</t>
  </si>
  <si>
    <t xml:space="preserve">/oauth2/realms/${proteo4.access-token-provider.client-credentials.realm:P4}/access_token</t>
  </si>
  <si>
    <t xml:space="preserve">proteo4.openam-client.endpoints.create-user</t>
  </si>
  <si>
    <t xml:space="preserve">/json/realms/root/realms/userRegistration-onboarding/selfservice/userRegistration?_action=submitRequirements</t>
  </si>
  <si>
    <t xml:space="preserve">proteo4.logging.access.enabled</t>
  </si>
  <si>
    <t xml:space="preserve">proteo4.logging.access.included-paths</t>
  </si>
  <si>
    <t xml:space="preserve">/*</t>
  </si>
  <si>
    <t xml:space="preserve">proteo4.logging.access.ignored-paths</t>
  </si>
  <si>
    <t xml:space="preserve">/actuator/**</t>
  </si>
  <si>
    <t xml:space="preserve">proteo4.logging.context.populate.http-headers</t>
  </si>
  <si>
    <t xml:space="preserve">Accept-Language,x-forwarded-for,x-instance-id,User-Agent,x-request-id</t>
  </si>
  <si>
    <t xml:space="preserve">proteo4.tracing.enabled</t>
  </si>
  <si>
    <t xml:space="preserve">proteo4.security.ignored-paths</t>
  </si>
  <si>
    <t xml:space="preserve">/actuator/**,/jwt/**</t>
  </si>
  <si>
    <t xml:space="preserve">proteo4.security.access-token.required</t>
  </si>
  <si>
    <t xml:space="preserve">proteo4.security.access-token.validation.enabled</t>
  </si>
  <si>
    <t xml:space="preserve">https://ms-infra-security-jwt-pro-ns-inf.${PROVIDER_SUFFIX_URL:apps.pro.aws.bancsabadell.com}/jwt/jwk_uri</t>
  </si>
  <si>
    <t xml:space="preserve">proteo4.security.access-token.validation.claims.issuers</t>
  </si>
  <si>
    <t xml:space="preserve">https://ms-infra-security-jwt-pro-ns-inf.bancsabadell.com/,https://ms-infra-jwt-employees-pro-ns-inf.bancsabadell.com/,https://ms-infra-jwt-partners-pro-ns-inf.bancsabadell.com/,https://ms-infra-security-jwt-pro-ns-inf.${PROVIDER_SUFFIX_URL:apps.pro.aws.bancsabadell.com}/,https://ms-infra-jwt-employees-pro-ns-inf.${PROVIDER_SUFFIX_URL:apps.pro.aws.bancsabadell.com}/,https://ms-infra-jwt-partners-pro-ns-inf.${PROVIDER_SUFFIX_URL:apps.pro.aws.bancsabadell.com}/</t>
  </si>
  <si>
    <t xml:space="preserve">https://ms-infra-mainframe-adapter-pro-ns-inf.${PROVIDER_SUFFIX_URL:apps.pro.aws.bancsabadell.com}</t>
  </si>
  <si>
    <t xml:space="preserve">https://ms-infra-literal-adapter-pro-ns-inf.${PROVIDER_SUFFIX_URL:apps.pro.aws.bancsabadell.com}</t>
  </si>
  <si>
    <t xml:space="preserve">proteo4.mainframe-adapter.literal-adapter.path</t>
  </si>
  <si>
    <t xml:space="preserve">/literals</t>
  </si>
  <si>
    <t xml:space="preserve">proteo4.ods-adapter.base-url</t>
  </si>
  <si>
    <t xml:space="preserve">https://ms-infra-ods-adapter-pro-ns-inf.${PROVIDER_SUFFIX_URL:apps.pro.aws.bancsabadell.com}</t>
  </si>
  <si>
    <t xml:space="preserve">proteo4.ods-adapter.extended-headers.username-token</t>
  </si>
  <si>
    <t xml:space="preserve">MULTIP</t>
  </si>
  <si>
    <t xml:space="preserve">proteo4.error-literal.base-url</t>
  </si>
  <si>
    <t xml:space="preserve">proteo4.error-literal.endpoint</t>
  </si>
  <si>
    <t xml:space="preserve">proteo4.operations-log.defaultExecutionServer</t>
  </si>
  <si>
    <t xml:space="preserve">P4-P</t>
  </si>
  <si>
    <t xml:space="preserve">proteo4.operations-log.appender.sqs.region</t>
  </si>
  <si>
    <t xml:space="preserve">eu-west-1</t>
  </si>
  <si>
    <t xml:space="preserve">proteo4.operations-log.appender.sqs.queue.endpoint</t>
  </si>
  <si>
    <t xml:space="preserve">https://sqs.eu-west-1.amazonaws.com/913536646623/proteo4-logoperational.fifo</t>
  </si>
  <si>
    <t xml:space="preserve">proteo4.operations-log.appender.sqs.queue.timeout</t>
  </si>
  <si>
    <t xml:space="preserve">proteo4.operations-log.appender.sqs.queue.fifo.groupId</t>
  </si>
  <si>
    <t xml:space="preserve">groupIdPRO</t>
  </si>
  <si>
    <t xml:space="preserve">proteo4.operations-log.appender.sqs.queue.fifo.groupCount</t>
  </si>
  <si>
    <t xml:space="preserve">proteo4.operations-log.appender.sqs.proxy.enabled</t>
  </si>
  <si>
    <t xml:space="preserve">${PROVIDER_IS_OCP:false}</t>
  </si>
  <si>
    <t xml:space="preserve">proteo4.operations-log.appender.sqs.proxy.hostname</t>
  </si>
  <si>
    <t xml:space="preserve">proxy.bancsabadell.com</t>
  </si>
  <si>
    <t xml:space="preserve">proteo4.operations-log.appender.sqs.proxy.port</t>
  </si>
  <si>
    <t xml:space="preserve">proteo4.operations-log.appender.sqs.batch.enabled</t>
  </si>
  <si>
    <t xml:space="preserve">proteo4.operations-log.appender.sqs.batch.maxBatchOpenMs</t>
  </si>
  <si>
    <t xml:space="preserve">proteo4.operations-log.appender.sqs.batch.maxBatchSize</t>
  </si>
  <si>
    <t xml:space="preserve">proteo4.operations-log.appender.sqs.batch.maxInflightOutboundBatches</t>
  </si>
  <si>
    <t xml:space="preserve">https://ms-storage-api-pro-ns-inf.${PROVIDER_SUFFIX_URL:apps.pro.aws.bancsabadell.com}/private-document-library-storage/v1</t>
  </si>
  <si>
    <t xml:space="preserve">proteo4.file-storage-service-platform.create-upload-link-path</t>
  </si>
  <si>
    <t xml:space="preserve">/upload-link/</t>
  </si>
  <si>
    <t xml:space="preserve">proteo4.file-storage-service-platform.upload-path</t>
  </si>
  <si>
    <t xml:space="preserve">/upload/</t>
  </si>
  <si>
    <t xml:space="preserve">proteo4.file-storage-service-platform.create-download-link-path</t>
  </si>
  <si>
    <t xml:space="preserve">/download-link/</t>
  </si>
  <si>
    <t xml:space="preserve">https://ms-infra-doc-generator-pro-ns-inf.${PROVIDER_SUFFIX_URL:apps.pro.aws.bancsabadell.com}</t>
  </si>
  <si>
    <t xml:space="preserve">https://ms-sys-generator-api-pro-ns-sys.${PROVIDER_SUFFIX_URL:apps.pro.aws.bancsabadell.com}</t>
  </si>
  <si>
    <t xml:space="preserve">proteo4.doc-generator.papyrus.path</t>
  </si>
  <si>
    <t xml:space="preserve">/v1/private-documents/link</t>
  </si>
  <si>
    <t xml:space="preserve">proteo4.geolocation.base-url</t>
  </si>
  <si>
    <t xml:space="preserve">https://ms-infra-geolocation-pro-ns-inf.${PROVIDER_SUFFIX_URL:apps.pro.aws.bancsabadell.com}</t>
  </si>
  <si>
    <t xml:space="preserve">proteo4.biocatch-fraud-adapter.base-url</t>
  </si>
  <si>
    <t xml:space="preserve">https://ms-infra-biocatch-fraud-adapter-pro-ns-inf.${PROVIDER_SUFFIX_URL:apps.pro.aws.bancsabadell.com}</t>
  </si>
  <si>
    <t xml:space="preserve">proteo4.biocatch-fraud-adapter.score-path</t>
  </si>
  <si>
    <t xml:space="preserve">/biocatch/score</t>
  </si>
  <si>
    <t xml:space="preserve">proteo4.biocatch-fraud-adapter.score-login-path</t>
  </si>
  <si>
    <t xml:space="preserve">/biocatch/scoreLogin</t>
  </si>
  <si>
    <t xml:space="preserve">proteo4.rsa-fraud-adapter.base-url</t>
  </si>
  <si>
    <t xml:space="preserve">https://ms-infra-rsa-fraud-adapter-pro-ns-inf.${PROVIDER_SUFFIX_URL:apps.pro.aws.bancsabadell.com}</t>
  </si>
  <si>
    <t xml:space="preserve">proteo4.security-initializer.client-credentials.clients.openam.base-url</t>
  </si>
  <si>
    <t xml:space="preserve">proteo4.security-initializer.client-credentials.clients.openam.endpoints.accessToken</t>
  </si>
  <si>
    <t xml:space="preserve">/oauth2/realms/root/realms/P4/access_token</t>
  </si>
  <si>
    <t xml:space="preserve">proteo4.security-initializer.client-credentials.clients.jwt.base-url</t>
  </si>
  <si>
    <t xml:space="preserve">https://ms-infra-security-jwt-pro-ns-inf.${PROVIDER_SUFFIX_URL:apps.pro.aws.bancsabadell.com}/</t>
  </si>
  <si>
    <t xml:space="preserve">proteo4.security-initializer.client-credentials.employees.openam.base-url</t>
  </si>
  <si>
    <t xml:space="preserve">https://forgerockam-pro.apps.pro.aws.bancsabadell.com/am</t>
  </si>
  <si>
    <t xml:space="preserve">proteo4.security-initializer.client-credentials.employees.openam.endpoints.accessToken</t>
  </si>
  <si>
    <t xml:space="preserve">/oauth2/realms/root/realms/employees/access_token</t>
  </si>
  <si>
    <t xml:space="preserve">proteo4.security-initializer.client-credentials.employees.jwt.base-url</t>
  </si>
  <si>
    <t xml:space="preserve">https://ms-infra-jwt-employees-pro-ns-inf.${PROVIDER_SUFFIX_URL:apps.pro.aws.bancsabadell.com}/</t>
  </si>
  <si>
    <t xml:space="preserve">proteo4.security-initializer.client-credentials.partners.openam.endpoints.accessToken</t>
  </si>
  <si>
    <t xml:space="preserve">/oauth2/realms/root/realms/partners/access_token</t>
  </si>
  <si>
    <t xml:space="preserve">proteo4.security-initializer.client-credentials.partners.jwt.base-url</t>
  </si>
  <si>
    <t xml:space="preserve">https://ms-infra-jwt-partners-pro-ns-inf.${PROVIDER_SUFFIX_URL:apps.pro.aws.bancsabadell.com}/</t>
  </si>
  <si>
    <t xml:space="preserve">proteo4.crypto.kms.uri</t>
  </si>
  <si>
    <t xml:space="preserve">https://vpce-0f3f45908cdf57e70-9kv2zs29.kms.eu-west-1.vpce.amazonaws.com:443</t>
  </si>
  <si>
    <t xml:space="preserve">proteo4.crypto.kms.region</t>
  </si>
  <si>
    <t xml:space="preserve">proteo4.crypto.kms.keyarn</t>
  </si>
  <si>
    <t xml:space="preserve">arn:aws:kms:eu-west-1:913536646623:key/ee6bf63d-cc22-4761-91d4-1</t>
  </si>
  <si>
    <t xml:space="preserve">proteo4.crypto.cache.cacheCapacity</t>
  </si>
  <si>
    <t xml:space="preserve">proteo4.crypto.cache.maxEntryMessages</t>
  </si>
  <si>
    <t xml:space="preserve">proteo4.crypto.cache.maxEntryAge</t>
  </si>
  <si>
    <t xml:space="preserve">proteo4.redis.connection-values-eks.database</t>
  </si>
  <si>
    <t xml:space="preserve">proteo4.redis.connection-values-eks.host</t>
  </si>
  <si>
    <t xml:space="preserve">redis-db-pro-headless.bscloud-redis-pro.svc.cluster.local</t>
  </si>
  <si>
    <t xml:space="preserve">proteo4.redis.connection-values-eks.port</t>
  </si>
  <si>
    <t xml:space="preserve">proteo4.redis.connection-values-ocp.database</t>
  </si>
  <si>
    <t xml:space="preserve">proteo4.redis.connection-values-ocp.host</t>
  </si>
  <si>
    <t xml:space="preserve">proteo4.redis.connection-values-ocp.port</t>
  </si>
  <si>
    <t xml:space="preserve">proteo4.redis.encrypt-config.password</t>
  </si>
  <si>
    <t xml:space="preserve">${REDIS_ENCRYPT_PASS}</t>
  </si>
  <si>
    <t xml:space="preserve">proteo4.redis.pool-config.max-total</t>
  </si>
  <si>
    <t xml:space="preserve">proteo4.redis.pool-config.max-idle</t>
  </si>
  <si>
    <t xml:space="preserve">proteo4.redis.pool-config.min-idle</t>
  </si>
  <si>
    <t xml:space="preserve">spring.sleuth.log.slf4j.enabled</t>
  </si>
  <si>
    <t xml:space="preserve">False</t>
  </si>
  <si>
    <t xml:space="preserve">spring.sleuth.enabled</t>
  </si>
  <si>
    <t xml:space="preserve">spring.sleuth.trace-id128</t>
  </si>
  <si>
    <t xml:space="preserve">spring.sleuth.baggage.correlation-fields</t>
  </si>
  <si>
    <t xml:space="preserve">x-request-id</t>
  </si>
  <si>
    <t xml:space="preserve">spring.sleuth.baggage.remote-fields</t>
  </si>
  <si>
    <t xml:space="preserve">spring.cloud.discovery.client.composite-indicator.enabled</t>
  </si>
  <si>
    <t xml:space="preserve">ns-baas-global-p4-micros-arch</t>
  </si>
  <si>
    <t xml:space="preserve">https://bitbucket.apps.devops.aws.bancsabadell.com/rest/api/1.0/projects/P4DES/repos/ns-baas-global-p4-micros-arch/browse/pro/configs/application.yaml?at=release/1.7.9</t>
  </si>
  <si>
    <t xml:space="preserve">release/1.7.9</t>
  </si>
  <si>
    <t xml:space="preserve">https://vpce-0a2d1d35df31199c9-d7i889qk.kms.eu-west-1.vpce.amazonaws.com:443</t>
  </si>
  <si>
    <t xml:space="preserve">proteo4.api-url.micros</t>
  </si>
  <si>
    <t xml:space="preserve">https://microsapi.es.bs</t>
  </si>
  <si>
    <t xml:space="preserve">ns-bff-global-p4-micros-arch</t>
  </si>
  <si>
    <t xml:space="preserve">https://bitbucket.apps.devops.aws.bancsabadell.com/rest/api/1.0/projects/P4DES/repos/ns-bff-global-p4-micros-arch/browse/pro/configs/application.yaml?at=release/1.8.8</t>
  </si>
  <si>
    <t xml:space="preserve">release/1.8.8</t>
  </si>
  <si>
    <t xml:space="preserve">/json/realms/root/realms/${proteo4.access-token-provider.client-credentials.realm:P4}/selfservice/userRegistration?_action=submitRequirements</t>
  </si>
  <si>
    <t xml:space="preserve">proteo4.pilot-testing.bff.token-info.url</t>
  </si>
  <si>
    <t xml:space="preserve">https://pro-openam-elb.pro.p4es.aws.bancsabadell.com:8443/o/oauth2/realms/root/realms/P4/tokeninfo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</si>
</sst>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theme="4" tint="0.3998"/>
      </top>
      <bottom style="thin">
        <color theme="4" tint="0.399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4EFB34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5" min="4" style="1" width="54"/>
    <col collapsed="false" customWidth="true" hidden="false" outlineLevel="0" max="6" min="6" style="1" width="73"/>
    <col collapsed="false" customWidth="true" hidden="false" outlineLevel="0" max="7" min="7" style="1" width="18"/>
    <col collapsed="false" customWidth="true" hidden="false" outlineLevel="0" max="8" min="8" style="1" width="80"/>
    <col collapsed="false" customWidth="true" hidden="false" outlineLevel="0" max="9" min="9" style="1" width="11"/>
    <col collapsed="false" customWidth="true" hidden="false" outlineLevel="0" max="10" min="10" style="1" width="59"/>
    <col collapsed="false" customWidth="true" hidden="false" outlineLevel="0" max="11" min="11" style="1" width="18"/>
    <col collapsed="false" customWidth="true" hidden="false" outlineLevel="0" max="12" min="12" style="1" width="49"/>
    <col collapsed="false" customWidth="true" hidden="false" outlineLevel="0" max="13" min="13" style="1" width="80"/>
    <col collapsed="false" customWidth="true" hidden="false" outlineLevel="0" max="14" min="14" style="1" width="21"/>
    <col collapsed="false" customWidth="true" hidden="false" outlineLevel="0" max="15" min="15" style="1" width="15"/>
    <col collapsed="false" customWidth="true" hidden="false" outlineLevel="0" max="16" min="16" style="1" width="18"/>
    <col collapsed="false" customWidth="true" hidden="false" outlineLevel="0" max="17" min="17" style="1" width="80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2.8" hidden="false" customHeight="fals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s">
        <v>20</v>
      </c>
      <c r="F2" s="1" t="s">
        <v>21</v>
      </c>
      <c r="G2" s="1" t="s">
        <v>22</v>
      </c>
      <c r="H2" s="1" t="s">
        <v>23</v>
      </c>
      <c r="I2" s="3" t="b">
        <f aca="false">FALSE()</f>
        <v>0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customFormat="false" ht="12.8" hidden="false" customHeight="false" outlineLevel="0" collapsed="false">
      <c r="A3" s="1" t="s">
        <v>17</v>
      </c>
      <c r="B3" s="1" t="s">
        <v>32</v>
      </c>
      <c r="C3" s="1" t="s">
        <v>19</v>
      </c>
      <c r="D3" s="1" t="s">
        <v>33</v>
      </c>
      <c r="E3" s="1" t="s">
        <v>33</v>
      </c>
      <c r="F3" s="1" t="s">
        <v>34</v>
      </c>
      <c r="G3" s="1" t="s">
        <v>35</v>
      </c>
      <c r="H3" s="1" t="s">
        <v>36</v>
      </c>
      <c r="I3" s="3" t="b">
        <f aca="false">FALSE()</f>
        <v>0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</row>
    <row r="4" customFormat="false" ht="12.8" hidden="false" customHeight="false" outlineLevel="0" collapsed="false">
      <c r="A4" s="1" t="s">
        <v>17</v>
      </c>
      <c r="B4" s="1" t="s">
        <v>32</v>
      </c>
      <c r="C4" s="1" t="s">
        <v>19</v>
      </c>
      <c r="D4" s="1" t="s">
        <v>45</v>
      </c>
      <c r="E4" s="1" t="s">
        <v>45</v>
      </c>
      <c r="F4" s="1" t="s">
        <v>46</v>
      </c>
      <c r="G4" s="1" t="s">
        <v>22</v>
      </c>
      <c r="H4" s="1" t="s">
        <v>47</v>
      </c>
      <c r="I4" s="3" t="b">
        <f aca="false">FALSE()</f>
        <v>0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</row>
    <row r="5" customFormat="false" ht="12.8" hidden="false" customHeight="false" outlineLevel="0" collapsed="false">
      <c r="A5" s="1" t="s">
        <v>17</v>
      </c>
      <c r="B5" s="1" t="s">
        <v>32</v>
      </c>
      <c r="C5" s="1" t="s">
        <v>19</v>
      </c>
      <c r="D5" s="1" t="s">
        <v>56</v>
      </c>
      <c r="E5" s="1" t="s">
        <v>56</v>
      </c>
      <c r="F5" s="1" t="s">
        <v>57</v>
      </c>
      <c r="G5" s="1" t="s">
        <v>35</v>
      </c>
      <c r="H5" s="1" t="s">
        <v>58</v>
      </c>
      <c r="I5" s="3" t="b">
        <f aca="false">FALSE()</f>
        <v>0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41</v>
      </c>
      <c r="O5" s="1" t="s">
        <v>63</v>
      </c>
      <c r="P5" s="1" t="s">
        <v>43</v>
      </c>
      <c r="Q5" s="1" t="s">
        <v>64</v>
      </c>
    </row>
    <row r="6" customFormat="false" ht="12.8" hidden="false" customHeight="false" outlineLevel="0" collapsed="false">
      <c r="A6" s="1" t="s">
        <v>17</v>
      </c>
      <c r="B6" s="1" t="s">
        <v>32</v>
      </c>
      <c r="C6" s="1" t="s">
        <v>19</v>
      </c>
      <c r="D6" s="1" t="s">
        <v>65</v>
      </c>
      <c r="E6" s="1" t="s">
        <v>65</v>
      </c>
      <c r="F6" s="1" t="s">
        <v>66</v>
      </c>
      <c r="G6" s="1" t="s">
        <v>35</v>
      </c>
      <c r="H6" s="1" t="s">
        <v>67</v>
      </c>
      <c r="I6" s="3" t="b">
        <f aca="false">FALSE()</f>
        <v>0</v>
      </c>
      <c r="J6" s="1" t="s">
        <v>68</v>
      </c>
      <c r="K6" s="1" t="s">
        <v>69</v>
      </c>
      <c r="L6" s="1" t="s">
        <v>70</v>
      </c>
      <c r="M6" s="1" t="s">
        <v>71</v>
      </c>
      <c r="N6" s="1" t="s">
        <v>63</v>
      </c>
      <c r="O6" s="1" t="s">
        <v>63</v>
      </c>
      <c r="P6" s="1" t="s">
        <v>43</v>
      </c>
      <c r="Q6" s="1" t="s">
        <v>72</v>
      </c>
    </row>
    <row r="7" customFormat="false" ht="12.8" hidden="false" customHeight="false" outlineLevel="0" collapsed="false">
      <c r="A7" s="1" t="s">
        <v>17</v>
      </c>
      <c r="B7" s="1" t="s">
        <v>32</v>
      </c>
      <c r="C7" s="1" t="s">
        <v>19</v>
      </c>
      <c r="D7" s="1" t="s">
        <v>73</v>
      </c>
      <c r="E7" s="1" t="s">
        <v>73</v>
      </c>
      <c r="F7" s="1" t="s">
        <v>74</v>
      </c>
      <c r="G7" s="1" t="s">
        <v>35</v>
      </c>
      <c r="H7" s="1" t="s">
        <v>75</v>
      </c>
      <c r="I7" s="3" t="b">
        <f aca="false">FALSE()</f>
        <v>0</v>
      </c>
      <c r="J7" s="1" t="s">
        <v>76</v>
      </c>
      <c r="K7" s="1" t="s">
        <v>77</v>
      </c>
      <c r="L7" s="1" t="s">
        <v>61</v>
      </c>
      <c r="M7" s="1" t="s">
        <v>78</v>
      </c>
      <c r="N7" s="1" t="s">
        <v>41</v>
      </c>
      <c r="O7" s="1" t="s">
        <v>63</v>
      </c>
      <c r="P7" s="1" t="s">
        <v>43</v>
      </c>
      <c r="Q7" s="1" t="s">
        <v>79</v>
      </c>
    </row>
    <row r="8" customFormat="false" ht="12.8" hidden="false" customHeight="false" outlineLevel="0" collapsed="false">
      <c r="A8" s="1" t="s">
        <v>17</v>
      </c>
      <c r="B8" s="1" t="s">
        <v>32</v>
      </c>
      <c r="C8" s="1" t="s">
        <v>19</v>
      </c>
      <c r="D8" s="1" t="s">
        <v>80</v>
      </c>
      <c r="E8" s="1" t="s">
        <v>80</v>
      </c>
      <c r="F8" s="1" t="s">
        <v>81</v>
      </c>
      <c r="G8" s="1" t="s">
        <v>35</v>
      </c>
      <c r="H8" s="1" t="s">
        <v>82</v>
      </c>
      <c r="I8" s="3" t="b">
        <f aca="false">FALSE()</f>
        <v>0</v>
      </c>
      <c r="J8" s="1" t="s">
        <v>83</v>
      </c>
      <c r="K8" s="1" t="s">
        <v>38</v>
      </c>
      <c r="L8" s="1" t="s">
        <v>84</v>
      </c>
      <c r="M8" s="1" t="s">
        <v>85</v>
      </c>
      <c r="N8" s="1" t="s">
        <v>41</v>
      </c>
      <c r="O8" s="1" t="s">
        <v>42</v>
      </c>
      <c r="P8" s="1" t="s">
        <v>43</v>
      </c>
      <c r="Q8" s="1" t="s">
        <v>86</v>
      </c>
    </row>
    <row r="9" customFormat="false" ht="12.8" hidden="false" customHeight="false" outlineLevel="0" collapsed="false">
      <c r="A9" s="1" t="s">
        <v>17</v>
      </c>
      <c r="B9" s="1" t="s">
        <v>32</v>
      </c>
      <c r="C9" s="1" t="s">
        <v>19</v>
      </c>
      <c r="D9" s="1" t="s">
        <v>87</v>
      </c>
      <c r="E9" s="1" t="s">
        <v>87</v>
      </c>
      <c r="F9" s="1" t="s">
        <v>88</v>
      </c>
      <c r="G9" s="1" t="s">
        <v>35</v>
      </c>
      <c r="H9" s="1" t="s">
        <v>89</v>
      </c>
      <c r="I9" s="3" t="b">
        <f aca="false">FALSE()</f>
        <v>0</v>
      </c>
      <c r="J9" s="1" t="s">
        <v>90</v>
      </c>
      <c r="K9" s="1" t="s">
        <v>91</v>
      </c>
      <c r="L9" s="1" t="s">
        <v>92</v>
      </c>
      <c r="M9" s="1" t="s">
        <v>93</v>
      </c>
      <c r="N9" s="1" t="s">
        <v>94</v>
      </c>
      <c r="O9" s="1" t="s">
        <v>94</v>
      </c>
      <c r="P9" s="1" t="s">
        <v>43</v>
      </c>
      <c r="Q9" s="1" t="s">
        <v>95</v>
      </c>
    </row>
    <row r="10" customFormat="false" ht="12.8" hidden="false" customHeight="false" outlineLevel="0" collapsed="false">
      <c r="A10" s="1" t="s">
        <v>17</v>
      </c>
      <c r="B10" s="1" t="s">
        <v>32</v>
      </c>
      <c r="C10" s="1" t="s">
        <v>19</v>
      </c>
      <c r="D10" s="1" t="s">
        <v>96</v>
      </c>
      <c r="E10" s="1" t="s">
        <v>96</v>
      </c>
      <c r="F10" s="1" t="s">
        <v>97</v>
      </c>
      <c r="G10" s="1" t="s">
        <v>35</v>
      </c>
      <c r="H10" s="1" t="s">
        <v>98</v>
      </c>
      <c r="I10" s="3" t="b">
        <f aca="false">FALSE()</f>
        <v>0</v>
      </c>
      <c r="J10" s="1" t="s">
        <v>99</v>
      </c>
      <c r="K10" s="1" t="s">
        <v>60</v>
      </c>
      <c r="L10" s="1" t="s">
        <v>61</v>
      </c>
      <c r="M10" s="1" t="s">
        <v>100</v>
      </c>
      <c r="N10" s="1" t="s">
        <v>101</v>
      </c>
      <c r="O10" s="1" t="s">
        <v>63</v>
      </c>
      <c r="P10" s="1" t="s">
        <v>43</v>
      </c>
      <c r="Q10" s="1" t="s">
        <v>102</v>
      </c>
    </row>
    <row r="11" customFormat="false" ht="12.8" hidden="false" customHeight="false" outlineLevel="0" collapsed="false">
      <c r="A11" s="1" t="s">
        <v>17</v>
      </c>
      <c r="B11" s="1" t="s">
        <v>32</v>
      </c>
      <c r="C11" s="1" t="s">
        <v>19</v>
      </c>
      <c r="D11" s="1" t="s">
        <v>103</v>
      </c>
      <c r="E11" s="1" t="s">
        <v>103</v>
      </c>
      <c r="F11" s="1" t="s">
        <v>104</v>
      </c>
      <c r="G11" s="1" t="s">
        <v>35</v>
      </c>
      <c r="H11" s="1" t="s">
        <v>105</v>
      </c>
      <c r="I11" s="3" t="b">
        <f aca="false">FALSE()</f>
        <v>0</v>
      </c>
      <c r="J11" s="1" t="s">
        <v>106</v>
      </c>
      <c r="K11" s="1" t="s">
        <v>60</v>
      </c>
      <c r="L11" s="1" t="s">
        <v>84</v>
      </c>
      <c r="M11" s="1" t="s">
        <v>107</v>
      </c>
      <c r="N11" s="1" t="s">
        <v>108</v>
      </c>
      <c r="O11" s="1" t="s">
        <v>108</v>
      </c>
      <c r="P11" s="1" t="s">
        <v>43</v>
      </c>
      <c r="Q11" s="1" t="s">
        <v>109</v>
      </c>
    </row>
    <row r="12" customFormat="false" ht="12.8" hidden="false" customHeight="false" outlineLevel="0" collapsed="false">
      <c r="A12" s="1" t="s">
        <v>17</v>
      </c>
      <c r="B12" s="1" t="s">
        <v>110</v>
      </c>
      <c r="C12" s="1" t="s">
        <v>19</v>
      </c>
      <c r="D12" s="1" t="s">
        <v>111</v>
      </c>
      <c r="E12" s="1" t="s">
        <v>111</v>
      </c>
      <c r="F12" s="1" t="s">
        <v>112</v>
      </c>
      <c r="G12" s="1" t="s">
        <v>22</v>
      </c>
      <c r="H12" s="1" t="s">
        <v>113</v>
      </c>
      <c r="I12" s="3" t="b">
        <f aca="false">FALSE()</f>
        <v>0</v>
      </c>
      <c r="J12" s="1" t="s">
        <v>114</v>
      </c>
      <c r="K12" s="1" t="s">
        <v>115</v>
      </c>
      <c r="L12" s="1" t="s">
        <v>116</v>
      </c>
      <c r="M12" s="1" t="s">
        <v>117</v>
      </c>
      <c r="N12" s="1" t="s">
        <v>118</v>
      </c>
      <c r="O12" s="1" t="s">
        <v>119</v>
      </c>
      <c r="P12" s="1" t="s">
        <v>120</v>
      </c>
      <c r="Q12" s="1" t="s">
        <v>121</v>
      </c>
    </row>
    <row r="13" customFormat="false" ht="12.8" hidden="false" customHeight="false" outlineLevel="0" collapsed="false">
      <c r="A13" s="1" t="s">
        <v>17</v>
      </c>
      <c r="B13" s="1" t="s">
        <v>110</v>
      </c>
      <c r="C13" s="1" t="s">
        <v>19</v>
      </c>
      <c r="D13" s="1" t="s">
        <v>122</v>
      </c>
      <c r="E13" s="1" t="s">
        <v>122</v>
      </c>
      <c r="F13" s="1" t="s">
        <v>123</v>
      </c>
      <c r="G13" s="1" t="s">
        <v>22</v>
      </c>
      <c r="H13" s="1" t="s">
        <v>124</v>
      </c>
      <c r="I13" s="3" t="b">
        <f aca="false">FALSE()</f>
        <v>0</v>
      </c>
      <c r="J13" s="1" t="s">
        <v>125</v>
      </c>
      <c r="K13" s="1" t="s">
        <v>126</v>
      </c>
      <c r="L13" s="1" t="s">
        <v>127</v>
      </c>
      <c r="M13" s="1" t="s">
        <v>128</v>
      </c>
      <c r="N13" s="1" t="s">
        <v>129</v>
      </c>
      <c r="O13" s="1" t="s">
        <v>130</v>
      </c>
      <c r="P13" s="1" t="s">
        <v>131</v>
      </c>
      <c r="Q13" s="1" t="s">
        <v>132</v>
      </c>
    </row>
    <row r="14" customFormat="false" ht="12.8" hidden="false" customHeight="false" outlineLevel="0" collapsed="false">
      <c r="A14" s="1" t="s">
        <v>17</v>
      </c>
      <c r="B14" s="1" t="s">
        <v>110</v>
      </c>
      <c r="C14" s="1" t="s">
        <v>19</v>
      </c>
      <c r="D14" s="1" t="s">
        <v>133</v>
      </c>
      <c r="E14" s="1" t="s">
        <v>133</v>
      </c>
      <c r="F14" s="1" t="s">
        <v>134</v>
      </c>
      <c r="G14" s="1" t="s">
        <v>22</v>
      </c>
      <c r="H14" s="1" t="s">
        <v>135</v>
      </c>
      <c r="I14" s="3" t="b">
        <f aca="false">FALSE()</f>
        <v>0</v>
      </c>
      <c r="J14" s="1" t="s">
        <v>136</v>
      </c>
      <c r="K14" s="1" t="s">
        <v>137</v>
      </c>
      <c r="L14" s="1" t="s">
        <v>138</v>
      </c>
      <c r="M14" s="1" t="s">
        <v>139</v>
      </c>
      <c r="N14" s="1" t="s">
        <v>140</v>
      </c>
      <c r="O14" s="1" t="s">
        <v>141</v>
      </c>
      <c r="P14" s="1" t="s">
        <v>131</v>
      </c>
      <c r="Q14" s="1" t="s">
        <v>142</v>
      </c>
    </row>
    <row r="15" customFormat="false" ht="12.8" hidden="false" customHeight="false" outlineLevel="0" collapsed="false">
      <c r="A15" s="1" t="s">
        <v>17</v>
      </c>
      <c r="B15" s="1" t="s">
        <v>110</v>
      </c>
      <c r="C15" s="1" t="s">
        <v>19</v>
      </c>
      <c r="D15" s="1" t="s">
        <v>143</v>
      </c>
      <c r="E15" s="1" t="s">
        <v>143</v>
      </c>
      <c r="F15" s="1" t="s">
        <v>144</v>
      </c>
      <c r="G15" s="1" t="s">
        <v>22</v>
      </c>
      <c r="H15" s="1" t="s">
        <v>145</v>
      </c>
      <c r="I15" s="3" t="b">
        <f aca="false">FALSE()</f>
        <v>0</v>
      </c>
      <c r="J15" s="1" t="s">
        <v>146</v>
      </c>
      <c r="K15" s="1" t="s">
        <v>147</v>
      </c>
      <c r="L15" s="1" t="s">
        <v>148</v>
      </c>
      <c r="M15" s="1" t="s">
        <v>149</v>
      </c>
      <c r="N15" s="1" t="s">
        <v>150</v>
      </c>
      <c r="O15" s="1" t="s">
        <v>151</v>
      </c>
      <c r="P15" s="1" t="s">
        <v>152</v>
      </c>
      <c r="Q15" s="1" t="s">
        <v>153</v>
      </c>
    </row>
    <row r="16" customFormat="false" ht="12.8" hidden="false" customHeight="false" outlineLevel="0" collapsed="false">
      <c r="A16" s="1" t="s">
        <v>17</v>
      </c>
      <c r="B16" s="1" t="s">
        <v>110</v>
      </c>
      <c r="C16" s="1" t="s">
        <v>19</v>
      </c>
      <c r="D16" s="1" t="s">
        <v>154</v>
      </c>
      <c r="E16" s="1" t="s">
        <v>154</v>
      </c>
      <c r="F16" s="1" t="s">
        <v>155</v>
      </c>
      <c r="G16" s="1" t="s">
        <v>22</v>
      </c>
      <c r="H16" s="1" t="s">
        <v>156</v>
      </c>
      <c r="I16" s="3" t="b">
        <f aca="false">FALSE()</f>
        <v>0</v>
      </c>
      <c r="J16" s="1" t="s">
        <v>157</v>
      </c>
      <c r="K16" s="1" t="s">
        <v>137</v>
      </c>
      <c r="L16" s="1" t="s">
        <v>158</v>
      </c>
      <c r="M16" s="1" t="s">
        <v>159</v>
      </c>
      <c r="N16" s="1" t="s">
        <v>160</v>
      </c>
      <c r="O16" s="1" t="s">
        <v>160</v>
      </c>
      <c r="P16" s="1" t="s">
        <v>161</v>
      </c>
      <c r="Q16" s="1" t="s">
        <v>162</v>
      </c>
    </row>
    <row r="17" customFormat="false" ht="12.8" hidden="false" customHeight="false" outlineLevel="0" collapsed="false">
      <c r="A17" s="1" t="s">
        <v>17</v>
      </c>
      <c r="B17" s="1" t="s">
        <v>110</v>
      </c>
      <c r="C17" s="1" t="s">
        <v>19</v>
      </c>
      <c r="D17" s="1" t="s">
        <v>163</v>
      </c>
      <c r="E17" s="1" t="s">
        <v>163</v>
      </c>
      <c r="F17" s="1" t="s">
        <v>164</v>
      </c>
      <c r="G17" s="1" t="s">
        <v>22</v>
      </c>
      <c r="H17" s="1" t="s">
        <v>165</v>
      </c>
      <c r="I17" s="3" t="b">
        <f aca="false">FALSE()</f>
        <v>0</v>
      </c>
      <c r="J17" s="1" t="s">
        <v>166</v>
      </c>
      <c r="K17" s="1" t="s">
        <v>126</v>
      </c>
      <c r="L17" s="1" t="s">
        <v>167</v>
      </c>
      <c r="M17" s="1" t="s">
        <v>168</v>
      </c>
      <c r="N17" s="1" t="s">
        <v>169</v>
      </c>
      <c r="O17" s="1" t="s">
        <v>170</v>
      </c>
      <c r="P17" s="1" t="s">
        <v>161</v>
      </c>
      <c r="Q17" s="1" t="s">
        <v>171</v>
      </c>
    </row>
    <row r="18" customFormat="false" ht="12.8" hidden="false" customHeight="false" outlineLevel="0" collapsed="false">
      <c r="A18" s="1" t="s">
        <v>17</v>
      </c>
      <c r="B18" s="1" t="s">
        <v>110</v>
      </c>
      <c r="C18" s="1" t="s">
        <v>19</v>
      </c>
      <c r="D18" s="1" t="s">
        <v>172</v>
      </c>
      <c r="E18" s="1" t="s">
        <v>172</v>
      </c>
      <c r="F18" s="1" t="s">
        <v>173</v>
      </c>
      <c r="G18" s="1" t="s">
        <v>22</v>
      </c>
      <c r="H18" s="1" t="s">
        <v>174</v>
      </c>
      <c r="I18" s="3" t="b">
        <f aca="false">FALSE()</f>
        <v>0</v>
      </c>
      <c r="J18" s="1" t="s">
        <v>175</v>
      </c>
      <c r="K18" s="1" t="s">
        <v>176</v>
      </c>
      <c r="L18" s="1" t="s">
        <v>177</v>
      </c>
      <c r="M18" s="1" t="s">
        <v>178</v>
      </c>
      <c r="N18" s="1" t="s">
        <v>179</v>
      </c>
      <c r="O18" s="1" t="s">
        <v>180</v>
      </c>
      <c r="P18" s="1" t="s">
        <v>181</v>
      </c>
      <c r="Q18" s="1" t="s">
        <v>182</v>
      </c>
    </row>
    <row r="19" customFormat="false" ht="12.8" hidden="false" customHeight="false" outlineLevel="0" collapsed="false">
      <c r="A19" s="1" t="s">
        <v>17</v>
      </c>
      <c r="B19" s="1" t="s">
        <v>110</v>
      </c>
      <c r="C19" s="1" t="s">
        <v>19</v>
      </c>
      <c r="D19" s="1" t="s">
        <v>183</v>
      </c>
      <c r="E19" s="1" t="s">
        <v>183</v>
      </c>
      <c r="F19" s="1" t="s">
        <v>184</v>
      </c>
      <c r="G19" s="1" t="s">
        <v>22</v>
      </c>
      <c r="H19" s="1" t="s">
        <v>185</v>
      </c>
      <c r="I19" s="3" t="b">
        <f aca="false">FALSE()</f>
        <v>0</v>
      </c>
      <c r="J19" s="1" t="s">
        <v>186</v>
      </c>
      <c r="K19" s="1" t="s">
        <v>187</v>
      </c>
      <c r="L19" s="1" t="s">
        <v>188</v>
      </c>
      <c r="M19" s="1" t="s">
        <v>189</v>
      </c>
      <c r="N19" s="1" t="s">
        <v>190</v>
      </c>
      <c r="O19" s="1" t="s">
        <v>191</v>
      </c>
      <c r="P19" s="1" t="s">
        <v>42</v>
      </c>
      <c r="Q19" s="1" t="s">
        <v>192</v>
      </c>
    </row>
    <row r="20" customFormat="false" ht="12.8" hidden="false" customHeight="false" outlineLevel="0" collapsed="false">
      <c r="A20" s="1" t="s">
        <v>17</v>
      </c>
      <c r="B20" s="1" t="s">
        <v>110</v>
      </c>
      <c r="C20" s="1" t="s">
        <v>19</v>
      </c>
      <c r="D20" s="1" t="s">
        <v>193</v>
      </c>
      <c r="E20" s="1" t="s">
        <v>193</v>
      </c>
      <c r="F20" s="1" t="s">
        <v>194</v>
      </c>
      <c r="G20" s="1" t="s">
        <v>22</v>
      </c>
      <c r="H20" s="1" t="s">
        <v>195</v>
      </c>
      <c r="I20" s="3" t="b">
        <f aca="false">FALSE()</f>
        <v>0</v>
      </c>
      <c r="J20" s="1" t="s">
        <v>196</v>
      </c>
      <c r="K20" s="1" t="s">
        <v>197</v>
      </c>
      <c r="L20" s="1" t="s">
        <v>177</v>
      </c>
      <c r="M20" s="1" t="s">
        <v>198</v>
      </c>
      <c r="N20" s="1" t="s">
        <v>63</v>
      </c>
      <c r="O20" s="1" t="s">
        <v>199</v>
      </c>
      <c r="P20" s="1" t="s">
        <v>181</v>
      </c>
      <c r="Q20" s="1" t="s">
        <v>200</v>
      </c>
    </row>
    <row r="21" customFormat="false" ht="12.8" hidden="false" customHeight="false" outlineLevel="0" collapsed="false">
      <c r="A21" s="1" t="s">
        <v>17</v>
      </c>
      <c r="B21" s="1" t="s">
        <v>110</v>
      </c>
      <c r="C21" s="1" t="s">
        <v>19</v>
      </c>
      <c r="D21" s="1" t="s">
        <v>201</v>
      </c>
      <c r="E21" s="1" t="s">
        <v>201</v>
      </c>
      <c r="F21" s="1" t="s">
        <v>202</v>
      </c>
      <c r="G21" s="1" t="s">
        <v>22</v>
      </c>
      <c r="H21" s="1" t="s">
        <v>203</v>
      </c>
      <c r="I21" s="3" t="b">
        <f aca="false">FALSE()</f>
        <v>0</v>
      </c>
      <c r="J21" s="1" t="s">
        <v>204</v>
      </c>
      <c r="K21" s="1" t="s">
        <v>137</v>
      </c>
      <c r="L21" s="1" t="s">
        <v>205</v>
      </c>
      <c r="M21" s="1" t="s">
        <v>206</v>
      </c>
      <c r="N21" s="1" t="s">
        <v>207</v>
      </c>
      <c r="O21" s="1" t="s">
        <v>208</v>
      </c>
      <c r="P21" s="1" t="s">
        <v>209</v>
      </c>
      <c r="Q21" s="1" t="s">
        <v>210</v>
      </c>
    </row>
    <row r="22" customFormat="false" ht="12.8" hidden="false" customHeight="false" outlineLevel="0" collapsed="false">
      <c r="A22" s="1" t="s">
        <v>17</v>
      </c>
      <c r="B22" s="1" t="s">
        <v>110</v>
      </c>
      <c r="C22" s="1" t="s">
        <v>19</v>
      </c>
      <c r="D22" s="1" t="s">
        <v>211</v>
      </c>
      <c r="E22" s="1" t="s">
        <v>211</v>
      </c>
      <c r="F22" s="1" t="s">
        <v>212</v>
      </c>
      <c r="G22" s="1" t="s">
        <v>22</v>
      </c>
      <c r="H22" s="1" t="s">
        <v>213</v>
      </c>
      <c r="I22" s="3" t="b">
        <f aca="false">FALSE()</f>
        <v>0</v>
      </c>
      <c r="J22" s="1" t="s">
        <v>214</v>
      </c>
      <c r="K22" s="1" t="s">
        <v>197</v>
      </c>
      <c r="L22" s="1" t="s">
        <v>177</v>
      </c>
      <c r="M22" s="1" t="s">
        <v>215</v>
      </c>
      <c r="N22" s="1" t="s">
        <v>216</v>
      </c>
      <c r="O22" s="1" t="s">
        <v>41</v>
      </c>
      <c r="P22" s="1" t="s">
        <v>181</v>
      </c>
      <c r="Q22" s="1" t="s">
        <v>217</v>
      </c>
    </row>
    <row r="23" customFormat="false" ht="12.8" hidden="false" customHeight="false" outlineLevel="0" collapsed="false">
      <c r="A23" s="1" t="s">
        <v>17</v>
      </c>
      <c r="B23" s="1" t="s">
        <v>110</v>
      </c>
      <c r="C23" s="1" t="s">
        <v>19</v>
      </c>
      <c r="D23" s="1" t="s">
        <v>218</v>
      </c>
      <c r="E23" s="1" t="s">
        <v>218</v>
      </c>
      <c r="F23" s="1" t="s">
        <v>219</v>
      </c>
      <c r="G23" s="1" t="s">
        <v>22</v>
      </c>
      <c r="H23" s="1" t="s">
        <v>220</v>
      </c>
      <c r="I23" s="3" t="b">
        <f aca="false">FALSE()</f>
        <v>0</v>
      </c>
      <c r="J23" s="1" t="s">
        <v>221</v>
      </c>
      <c r="K23" s="1" t="s">
        <v>126</v>
      </c>
      <c r="L23" s="1" t="s">
        <v>167</v>
      </c>
      <c r="M23" s="1" t="s">
        <v>222</v>
      </c>
      <c r="N23" s="1" t="s">
        <v>223</v>
      </c>
      <c r="O23" s="1" t="s">
        <v>224</v>
      </c>
      <c r="P23" s="1" t="s">
        <v>131</v>
      </c>
      <c r="Q23" s="1" t="s">
        <v>225</v>
      </c>
    </row>
    <row r="24" customFormat="false" ht="12.8" hidden="false" customHeight="false" outlineLevel="0" collapsed="false">
      <c r="A24" s="1" t="s">
        <v>17</v>
      </c>
      <c r="B24" s="1" t="s">
        <v>110</v>
      </c>
      <c r="C24" s="1" t="s">
        <v>19</v>
      </c>
      <c r="D24" s="1" t="s">
        <v>226</v>
      </c>
      <c r="E24" s="1" t="s">
        <v>226</v>
      </c>
      <c r="F24" s="1" t="s">
        <v>227</v>
      </c>
      <c r="G24" s="1" t="s">
        <v>22</v>
      </c>
      <c r="H24" s="1" t="s">
        <v>228</v>
      </c>
      <c r="I24" s="3" t="b">
        <f aca="false">FALSE()</f>
        <v>0</v>
      </c>
      <c r="J24" s="1" t="s">
        <v>229</v>
      </c>
      <c r="K24" s="1" t="s">
        <v>126</v>
      </c>
      <c r="L24" s="1" t="s">
        <v>158</v>
      </c>
      <c r="M24" s="1" t="s">
        <v>230</v>
      </c>
      <c r="N24" s="1" t="s">
        <v>231</v>
      </c>
      <c r="O24" s="1" t="s">
        <v>232</v>
      </c>
      <c r="P24" s="1" t="s">
        <v>233</v>
      </c>
      <c r="Q24" s="1" t="s">
        <v>234</v>
      </c>
    </row>
    <row r="25" customFormat="false" ht="12.8" hidden="false" customHeight="false" outlineLevel="0" collapsed="false">
      <c r="A25" s="1" t="s">
        <v>17</v>
      </c>
      <c r="B25" s="1" t="s">
        <v>110</v>
      </c>
      <c r="C25" s="1" t="s">
        <v>19</v>
      </c>
      <c r="D25" s="1" t="s">
        <v>235</v>
      </c>
      <c r="E25" s="1" t="s">
        <v>235</v>
      </c>
      <c r="F25" s="1" t="s">
        <v>236</v>
      </c>
      <c r="G25" s="1" t="s">
        <v>22</v>
      </c>
      <c r="H25" s="1" t="s">
        <v>237</v>
      </c>
      <c r="I25" s="3" t="b">
        <f aca="false">FALSE()</f>
        <v>0</v>
      </c>
      <c r="J25" s="1" t="s">
        <v>238</v>
      </c>
      <c r="K25" s="1" t="s">
        <v>239</v>
      </c>
      <c r="L25" s="1" t="s">
        <v>240</v>
      </c>
      <c r="M25" s="1" t="s">
        <v>241</v>
      </c>
      <c r="N25" s="1" t="s">
        <v>242</v>
      </c>
      <c r="O25" s="1" t="s">
        <v>243</v>
      </c>
      <c r="P25" s="1" t="s">
        <v>244</v>
      </c>
      <c r="Q25" s="1" t="s">
        <v>245</v>
      </c>
    </row>
    <row r="26" customFormat="false" ht="12.8" hidden="false" customHeight="false" outlineLevel="0" collapsed="false">
      <c r="A26" s="1" t="s">
        <v>17</v>
      </c>
      <c r="B26" s="1" t="s">
        <v>110</v>
      </c>
      <c r="C26" s="1" t="s">
        <v>19</v>
      </c>
      <c r="D26" s="1" t="s">
        <v>246</v>
      </c>
      <c r="E26" s="1" t="s">
        <v>246</v>
      </c>
      <c r="F26" s="1" t="s">
        <v>247</v>
      </c>
      <c r="G26" s="1" t="s">
        <v>22</v>
      </c>
      <c r="H26" s="1" t="s">
        <v>248</v>
      </c>
      <c r="I26" s="3" t="b">
        <f aca="false">FALSE()</f>
        <v>0</v>
      </c>
      <c r="J26" s="1" t="s">
        <v>249</v>
      </c>
      <c r="K26" s="1" t="s">
        <v>147</v>
      </c>
      <c r="L26" s="1" t="s">
        <v>250</v>
      </c>
      <c r="M26" s="1" t="s">
        <v>251</v>
      </c>
      <c r="N26" s="1" t="s">
        <v>130</v>
      </c>
      <c r="O26" s="1" t="s">
        <v>216</v>
      </c>
      <c r="P26" s="1" t="s">
        <v>252</v>
      </c>
      <c r="Q26" s="1" t="s">
        <v>253</v>
      </c>
    </row>
    <row r="27" customFormat="false" ht="12.8" hidden="false" customHeight="false" outlineLevel="0" collapsed="false">
      <c r="A27" s="1" t="s">
        <v>17</v>
      </c>
      <c r="B27" s="1" t="s">
        <v>110</v>
      </c>
      <c r="C27" s="1" t="s">
        <v>19</v>
      </c>
      <c r="D27" s="1" t="s">
        <v>254</v>
      </c>
      <c r="E27" s="1" t="s">
        <v>254</v>
      </c>
      <c r="F27" s="1" t="s">
        <v>255</v>
      </c>
      <c r="G27" s="1" t="s">
        <v>22</v>
      </c>
      <c r="H27" s="1" t="s">
        <v>256</v>
      </c>
      <c r="I27" s="3" t="b">
        <f aca="false">FALSE()</f>
        <v>0</v>
      </c>
      <c r="J27" s="1" t="s">
        <v>257</v>
      </c>
      <c r="K27" s="1" t="s">
        <v>25</v>
      </c>
      <c r="L27" s="1" t="s">
        <v>148</v>
      </c>
      <c r="M27" s="1" t="s">
        <v>258</v>
      </c>
      <c r="N27" s="1" t="s">
        <v>259</v>
      </c>
      <c r="O27" s="1" t="s">
        <v>260</v>
      </c>
      <c r="P27" s="1" t="s">
        <v>261</v>
      </c>
      <c r="Q27" s="1" t="s">
        <v>262</v>
      </c>
    </row>
    <row r="28" customFormat="false" ht="12.8" hidden="false" customHeight="false" outlineLevel="0" collapsed="false">
      <c r="A28" s="1" t="s">
        <v>17</v>
      </c>
      <c r="B28" s="1" t="s">
        <v>110</v>
      </c>
      <c r="C28" s="1" t="s">
        <v>19</v>
      </c>
      <c r="D28" s="1" t="s">
        <v>263</v>
      </c>
      <c r="E28" s="1" t="s">
        <v>263</v>
      </c>
      <c r="F28" s="1" t="s">
        <v>264</v>
      </c>
      <c r="G28" s="1" t="s">
        <v>22</v>
      </c>
      <c r="H28" s="1" t="s">
        <v>265</v>
      </c>
      <c r="I28" s="3" t="b">
        <f aca="false">FALSE()</f>
        <v>0</v>
      </c>
      <c r="J28" s="1" t="s">
        <v>266</v>
      </c>
      <c r="K28" s="1" t="s">
        <v>197</v>
      </c>
      <c r="L28" s="1" t="s">
        <v>267</v>
      </c>
      <c r="M28" s="1" t="s">
        <v>268</v>
      </c>
      <c r="N28" s="1" t="s">
        <v>269</v>
      </c>
      <c r="O28" s="1" t="s">
        <v>120</v>
      </c>
      <c r="P28" s="1" t="s">
        <v>270</v>
      </c>
      <c r="Q28" s="1" t="s">
        <v>271</v>
      </c>
    </row>
    <row r="29" customFormat="false" ht="12.8" hidden="false" customHeight="false" outlineLevel="0" collapsed="false">
      <c r="A29" s="1" t="s">
        <v>17</v>
      </c>
      <c r="B29" s="1" t="s">
        <v>110</v>
      </c>
      <c r="C29" s="1" t="s">
        <v>19</v>
      </c>
      <c r="D29" s="1" t="s">
        <v>272</v>
      </c>
      <c r="E29" s="1" t="s">
        <v>272</v>
      </c>
      <c r="F29" s="1" t="s">
        <v>273</v>
      </c>
      <c r="G29" s="1" t="s">
        <v>22</v>
      </c>
      <c r="H29" s="1" t="s">
        <v>274</v>
      </c>
      <c r="I29" s="3" t="b">
        <f aca="false">FALSE()</f>
        <v>0</v>
      </c>
      <c r="J29" s="1" t="s">
        <v>275</v>
      </c>
      <c r="K29" s="1" t="s">
        <v>147</v>
      </c>
      <c r="L29" s="1" t="s">
        <v>276</v>
      </c>
      <c r="M29" s="1" t="s">
        <v>277</v>
      </c>
      <c r="N29" s="1" t="s">
        <v>278</v>
      </c>
      <c r="O29" s="1" t="s">
        <v>279</v>
      </c>
      <c r="P29" s="1" t="s">
        <v>161</v>
      </c>
      <c r="Q29" s="1" t="s">
        <v>280</v>
      </c>
    </row>
    <row r="30" customFormat="false" ht="12.8" hidden="false" customHeight="false" outlineLevel="0" collapsed="false">
      <c r="A30" s="1" t="s">
        <v>17</v>
      </c>
      <c r="B30" s="1" t="s">
        <v>110</v>
      </c>
      <c r="C30" s="1" t="s">
        <v>19</v>
      </c>
      <c r="D30" s="1" t="s">
        <v>281</v>
      </c>
      <c r="E30" s="1" t="s">
        <v>281</v>
      </c>
      <c r="F30" s="1" t="s">
        <v>282</v>
      </c>
      <c r="G30" s="1" t="s">
        <v>22</v>
      </c>
      <c r="H30" s="1" t="s">
        <v>283</v>
      </c>
      <c r="I30" s="3" t="b">
        <f aca="false">FALSE()</f>
        <v>0</v>
      </c>
      <c r="J30" s="1" t="s">
        <v>284</v>
      </c>
      <c r="K30" s="1" t="s">
        <v>137</v>
      </c>
      <c r="L30" s="1" t="s">
        <v>285</v>
      </c>
      <c r="M30" s="1" t="s">
        <v>286</v>
      </c>
      <c r="N30" s="1" t="s">
        <v>287</v>
      </c>
      <c r="O30" s="1" t="s">
        <v>119</v>
      </c>
      <c r="P30" s="1" t="s">
        <v>141</v>
      </c>
      <c r="Q30" s="1" t="s">
        <v>288</v>
      </c>
    </row>
    <row r="31" customFormat="false" ht="12.8" hidden="false" customHeight="false" outlineLevel="0" collapsed="false">
      <c r="A31" s="1" t="s">
        <v>17</v>
      </c>
      <c r="B31" s="1" t="s">
        <v>110</v>
      </c>
      <c r="C31" s="1" t="s">
        <v>19</v>
      </c>
      <c r="D31" s="1" t="s">
        <v>289</v>
      </c>
      <c r="E31" s="1" t="s">
        <v>289</v>
      </c>
      <c r="F31" s="1" t="s">
        <v>290</v>
      </c>
      <c r="G31" s="1" t="s">
        <v>22</v>
      </c>
      <c r="H31" s="1" t="s">
        <v>291</v>
      </c>
      <c r="I31" s="3" t="b">
        <f aca="false">FALSE()</f>
        <v>0</v>
      </c>
      <c r="J31" s="1" t="s">
        <v>292</v>
      </c>
      <c r="K31" s="1" t="s">
        <v>293</v>
      </c>
      <c r="L31" s="1" t="s">
        <v>294</v>
      </c>
      <c r="M31" s="1" t="s">
        <v>295</v>
      </c>
      <c r="N31" s="1" t="s">
        <v>242</v>
      </c>
      <c r="O31" s="1" t="s">
        <v>296</v>
      </c>
      <c r="P31" s="1" t="s">
        <v>42</v>
      </c>
      <c r="Q31" s="1" t="s">
        <v>297</v>
      </c>
    </row>
    <row r="32" customFormat="false" ht="12.8" hidden="false" customHeight="false" outlineLevel="0" collapsed="false">
      <c r="A32" s="1" t="s">
        <v>17</v>
      </c>
      <c r="B32" s="1" t="s">
        <v>110</v>
      </c>
      <c r="C32" s="1" t="s">
        <v>19</v>
      </c>
      <c r="D32" s="1" t="s">
        <v>298</v>
      </c>
      <c r="E32" s="1" t="s">
        <v>298</v>
      </c>
      <c r="F32" s="1" t="s">
        <v>299</v>
      </c>
      <c r="G32" s="1" t="s">
        <v>22</v>
      </c>
      <c r="H32" s="1" t="s">
        <v>300</v>
      </c>
      <c r="I32" s="3" t="b">
        <f aca="false">FALSE()</f>
        <v>0</v>
      </c>
      <c r="J32" s="1" t="s">
        <v>301</v>
      </c>
      <c r="K32" s="1" t="s">
        <v>126</v>
      </c>
      <c r="L32" s="1" t="s">
        <v>177</v>
      </c>
      <c r="M32" s="1" t="s">
        <v>302</v>
      </c>
      <c r="N32" s="1" t="s">
        <v>303</v>
      </c>
      <c r="O32" s="1" t="s">
        <v>304</v>
      </c>
      <c r="P32" s="1" t="s">
        <v>261</v>
      </c>
      <c r="Q32" s="1" t="s">
        <v>305</v>
      </c>
    </row>
    <row r="33" customFormat="false" ht="12.8" hidden="false" customHeight="false" outlineLevel="0" collapsed="false">
      <c r="A33" s="1" t="s">
        <v>17</v>
      </c>
      <c r="B33" s="1" t="s">
        <v>110</v>
      </c>
      <c r="C33" s="1" t="s">
        <v>19</v>
      </c>
      <c r="D33" s="1" t="s">
        <v>306</v>
      </c>
      <c r="E33" s="1" t="s">
        <v>306</v>
      </c>
      <c r="F33" s="1" t="s">
        <v>307</v>
      </c>
      <c r="G33" s="1" t="s">
        <v>22</v>
      </c>
      <c r="H33" s="1" t="s">
        <v>308</v>
      </c>
      <c r="I33" s="3" t="b">
        <f aca="false">FALSE()</f>
        <v>0</v>
      </c>
      <c r="J33" s="1" t="s">
        <v>309</v>
      </c>
      <c r="K33" s="1" t="s">
        <v>137</v>
      </c>
      <c r="L33" s="1" t="s">
        <v>310</v>
      </c>
      <c r="M33" s="1" t="s">
        <v>311</v>
      </c>
      <c r="N33" s="1" t="s">
        <v>199</v>
      </c>
      <c r="O33" s="1" t="s">
        <v>119</v>
      </c>
      <c r="P33" s="1" t="s">
        <v>312</v>
      </c>
      <c r="Q33" s="1" t="s">
        <v>313</v>
      </c>
    </row>
    <row r="34" customFormat="false" ht="12.8" hidden="false" customHeight="false" outlineLevel="0" collapsed="false">
      <c r="A34" s="1" t="s">
        <v>17</v>
      </c>
      <c r="B34" s="1" t="s">
        <v>110</v>
      </c>
      <c r="C34" s="1" t="s">
        <v>19</v>
      </c>
      <c r="D34" s="1" t="s">
        <v>314</v>
      </c>
      <c r="E34" s="1" t="s">
        <v>314</v>
      </c>
      <c r="F34" s="1" t="s">
        <v>315</v>
      </c>
      <c r="G34" s="1" t="s">
        <v>22</v>
      </c>
      <c r="H34" s="1" t="s">
        <v>316</v>
      </c>
      <c r="I34" s="3" t="b">
        <f aca="false">FALSE()</f>
        <v>0</v>
      </c>
      <c r="J34" s="1" t="s">
        <v>317</v>
      </c>
      <c r="K34" s="1" t="s">
        <v>25</v>
      </c>
      <c r="L34" s="1" t="s">
        <v>318</v>
      </c>
      <c r="M34" s="1" t="s">
        <v>319</v>
      </c>
      <c r="N34" s="1" t="s">
        <v>320</v>
      </c>
      <c r="O34" s="1" t="s">
        <v>287</v>
      </c>
      <c r="P34" s="1" t="s">
        <v>252</v>
      </c>
      <c r="Q34" s="1" t="s">
        <v>321</v>
      </c>
    </row>
    <row r="35" customFormat="false" ht="12.8" hidden="false" customHeight="false" outlineLevel="0" collapsed="false">
      <c r="A35" s="1" t="s">
        <v>17</v>
      </c>
      <c r="B35" s="1" t="s">
        <v>110</v>
      </c>
      <c r="C35" s="1" t="s">
        <v>19</v>
      </c>
      <c r="D35" s="1" t="s">
        <v>322</v>
      </c>
      <c r="E35" s="1" t="s">
        <v>322</v>
      </c>
      <c r="F35" s="1" t="s">
        <v>323</v>
      </c>
      <c r="G35" s="1" t="s">
        <v>22</v>
      </c>
      <c r="H35" s="1" t="s">
        <v>324</v>
      </c>
      <c r="I35" s="3" t="b">
        <f aca="false">FALSE()</f>
        <v>0</v>
      </c>
      <c r="J35" s="1" t="s">
        <v>325</v>
      </c>
      <c r="K35" s="1" t="s">
        <v>137</v>
      </c>
      <c r="L35" s="1" t="s">
        <v>285</v>
      </c>
      <c r="M35" s="1" t="s">
        <v>326</v>
      </c>
      <c r="N35" s="1" t="s">
        <v>327</v>
      </c>
      <c r="O35" s="1" t="s">
        <v>287</v>
      </c>
      <c r="P35" s="1" t="s">
        <v>42</v>
      </c>
      <c r="Q35" s="1" t="s">
        <v>328</v>
      </c>
    </row>
    <row r="36" customFormat="false" ht="12.8" hidden="false" customHeight="false" outlineLevel="0" collapsed="false">
      <c r="A36" s="1" t="s">
        <v>17</v>
      </c>
      <c r="B36" s="1" t="s">
        <v>110</v>
      </c>
      <c r="C36" s="1" t="s">
        <v>19</v>
      </c>
      <c r="D36" s="1" t="s">
        <v>329</v>
      </c>
      <c r="E36" s="1" t="s">
        <v>329</v>
      </c>
      <c r="F36" s="1" t="s">
        <v>330</v>
      </c>
      <c r="G36" s="1" t="s">
        <v>22</v>
      </c>
      <c r="H36" s="1" t="s">
        <v>331</v>
      </c>
      <c r="I36" s="3" t="b">
        <f aca="false">FALSE()</f>
        <v>0</v>
      </c>
      <c r="J36" s="1" t="s">
        <v>332</v>
      </c>
      <c r="K36" s="1" t="s">
        <v>126</v>
      </c>
      <c r="L36" s="1" t="s">
        <v>333</v>
      </c>
      <c r="M36" s="1" t="s">
        <v>334</v>
      </c>
      <c r="N36" s="1" t="s">
        <v>130</v>
      </c>
      <c r="O36" s="1" t="s">
        <v>120</v>
      </c>
      <c r="P36" s="1" t="s">
        <v>131</v>
      </c>
      <c r="Q36" s="1" t="s">
        <v>335</v>
      </c>
    </row>
    <row r="37" customFormat="false" ht="12.8" hidden="false" customHeight="false" outlineLevel="0" collapsed="false">
      <c r="A37" s="1" t="s">
        <v>17</v>
      </c>
      <c r="B37" s="1" t="s">
        <v>110</v>
      </c>
      <c r="C37" s="1" t="s">
        <v>19</v>
      </c>
      <c r="D37" s="1" t="s">
        <v>336</v>
      </c>
      <c r="E37" s="1" t="s">
        <v>336</v>
      </c>
      <c r="F37" s="1" t="s">
        <v>337</v>
      </c>
      <c r="G37" s="1" t="s">
        <v>22</v>
      </c>
      <c r="H37" s="1" t="s">
        <v>338</v>
      </c>
      <c r="I37" s="3" t="b">
        <f aca="false">FALSE()</f>
        <v>0</v>
      </c>
      <c r="J37" s="1" t="s">
        <v>339</v>
      </c>
      <c r="K37" s="1" t="s">
        <v>25</v>
      </c>
      <c r="L37" s="1" t="s">
        <v>177</v>
      </c>
      <c r="M37" s="1" t="s">
        <v>340</v>
      </c>
      <c r="N37" s="1" t="s">
        <v>341</v>
      </c>
      <c r="O37" s="1" t="s">
        <v>342</v>
      </c>
      <c r="P37" s="1" t="s">
        <v>181</v>
      </c>
      <c r="Q37" s="1" t="s">
        <v>343</v>
      </c>
    </row>
    <row r="38" customFormat="false" ht="12.8" hidden="false" customHeight="false" outlineLevel="0" collapsed="false">
      <c r="A38" s="1" t="s">
        <v>17</v>
      </c>
      <c r="B38" s="1" t="s">
        <v>110</v>
      </c>
      <c r="C38" s="1" t="s">
        <v>19</v>
      </c>
      <c r="D38" s="1" t="s">
        <v>344</v>
      </c>
      <c r="E38" s="1" t="s">
        <v>344</v>
      </c>
      <c r="F38" s="1" t="s">
        <v>345</v>
      </c>
      <c r="G38" s="1" t="s">
        <v>22</v>
      </c>
      <c r="H38" s="1" t="s">
        <v>346</v>
      </c>
      <c r="I38" s="3" t="b">
        <f aca="false">FALSE()</f>
        <v>0</v>
      </c>
      <c r="J38" s="1" t="s">
        <v>347</v>
      </c>
      <c r="K38" s="1" t="s">
        <v>126</v>
      </c>
      <c r="L38" s="1" t="s">
        <v>348</v>
      </c>
      <c r="M38" s="1" t="s">
        <v>349</v>
      </c>
      <c r="N38" s="1" t="s">
        <v>350</v>
      </c>
      <c r="O38" s="1" t="s">
        <v>351</v>
      </c>
      <c r="P38" s="1" t="s">
        <v>352</v>
      </c>
      <c r="Q38" s="1" t="s">
        <v>353</v>
      </c>
    </row>
    <row r="39" customFormat="false" ht="12.8" hidden="false" customHeight="false" outlineLevel="0" collapsed="false">
      <c r="A39" s="1" t="s">
        <v>17</v>
      </c>
      <c r="B39" s="1" t="s">
        <v>110</v>
      </c>
      <c r="C39" s="1" t="s">
        <v>19</v>
      </c>
      <c r="D39" s="1" t="s">
        <v>354</v>
      </c>
      <c r="E39" s="1" t="s">
        <v>354</v>
      </c>
      <c r="F39" s="1" t="s">
        <v>355</v>
      </c>
      <c r="G39" s="1" t="s">
        <v>22</v>
      </c>
      <c r="H39" s="1" t="s">
        <v>356</v>
      </c>
      <c r="I39" s="3" t="b">
        <f aca="false">FALSE()</f>
        <v>0</v>
      </c>
      <c r="J39" s="1" t="s">
        <v>357</v>
      </c>
      <c r="K39" s="1" t="s">
        <v>49</v>
      </c>
      <c r="L39" s="1" t="s">
        <v>358</v>
      </c>
      <c r="M39" s="1" t="s">
        <v>359</v>
      </c>
      <c r="N39" s="1" t="s">
        <v>42</v>
      </c>
      <c r="O39" s="1" t="s">
        <v>342</v>
      </c>
      <c r="P39" s="1" t="s">
        <v>29</v>
      </c>
      <c r="Q39" s="1" t="s">
        <v>360</v>
      </c>
    </row>
    <row r="40" customFormat="false" ht="12.8" hidden="false" customHeight="false" outlineLevel="0" collapsed="false">
      <c r="A40" s="1" t="s">
        <v>17</v>
      </c>
      <c r="B40" s="1" t="s">
        <v>110</v>
      </c>
      <c r="C40" s="1" t="s">
        <v>19</v>
      </c>
      <c r="D40" s="1" t="s">
        <v>361</v>
      </c>
      <c r="E40" s="1" t="s">
        <v>361</v>
      </c>
      <c r="F40" s="1" t="s">
        <v>362</v>
      </c>
      <c r="G40" s="1" t="s">
        <v>22</v>
      </c>
      <c r="H40" s="1" t="s">
        <v>363</v>
      </c>
      <c r="I40" s="3" t="b">
        <f aca="false">FALSE()</f>
        <v>0</v>
      </c>
      <c r="J40" s="1" t="s">
        <v>364</v>
      </c>
      <c r="K40" s="1" t="s">
        <v>365</v>
      </c>
      <c r="L40" s="1" t="s">
        <v>366</v>
      </c>
      <c r="M40" s="1" t="s">
        <v>367</v>
      </c>
      <c r="N40" s="1" t="s">
        <v>368</v>
      </c>
      <c r="O40" s="1" t="s">
        <v>369</v>
      </c>
      <c r="P40" s="1" t="s">
        <v>42</v>
      </c>
      <c r="Q40" s="1" t="s">
        <v>370</v>
      </c>
    </row>
    <row r="41" customFormat="false" ht="12.8" hidden="false" customHeight="false" outlineLevel="0" collapsed="false">
      <c r="A41" s="1" t="s">
        <v>17</v>
      </c>
      <c r="B41" s="1" t="s">
        <v>110</v>
      </c>
      <c r="C41" s="1" t="s">
        <v>19</v>
      </c>
      <c r="D41" s="1" t="s">
        <v>371</v>
      </c>
      <c r="E41" s="1" t="s">
        <v>371</v>
      </c>
      <c r="F41" s="1" t="s">
        <v>372</v>
      </c>
      <c r="G41" s="1" t="s">
        <v>22</v>
      </c>
      <c r="H41" s="1" t="s">
        <v>373</v>
      </c>
      <c r="I41" s="3" t="b">
        <f aca="false">FALSE()</f>
        <v>0</v>
      </c>
      <c r="J41" s="1" t="s">
        <v>374</v>
      </c>
      <c r="K41" s="1" t="s">
        <v>137</v>
      </c>
      <c r="L41" s="1" t="s">
        <v>375</v>
      </c>
      <c r="M41" s="1" t="s">
        <v>376</v>
      </c>
      <c r="N41" s="1" t="s">
        <v>269</v>
      </c>
      <c r="O41" s="1" t="s">
        <v>377</v>
      </c>
      <c r="P41" s="1" t="s">
        <v>141</v>
      </c>
      <c r="Q41" s="1" t="s">
        <v>378</v>
      </c>
    </row>
    <row r="42" customFormat="false" ht="12.8" hidden="false" customHeight="false" outlineLevel="0" collapsed="false">
      <c r="A42" s="1" t="s">
        <v>17</v>
      </c>
      <c r="B42" s="1" t="s">
        <v>110</v>
      </c>
      <c r="C42" s="1" t="s">
        <v>19</v>
      </c>
      <c r="D42" s="1" t="s">
        <v>379</v>
      </c>
      <c r="E42" s="1" t="s">
        <v>379</v>
      </c>
      <c r="F42" s="1" t="s">
        <v>380</v>
      </c>
      <c r="G42" s="1" t="s">
        <v>22</v>
      </c>
      <c r="H42" s="1" t="s">
        <v>381</v>
      </c>
      <c r="I42" s="3" t="b">
        <f aca="false">FALSE()</f>
        <v>0</v>
      </c>
      <c r="J42" s="1" t="s">
        <v>382</v>
      </c>
      <c r="K42" s="1" t="s">
        <v>147</v>
      </c>
      <c r="L42" s="1" t="s">
        <v>333</v>
      </c>
      <c r="M42" s="1" t="s">
        <v>383</v>
      </c>
      <c r="N42" s="1" t="s">
        <v>384</v>
      </c>
      <c r="O42" s="1" t="s">
        <v>120</v>
      </c>
      <c r="P42" s="1" t="s">
        <v>131</v>
      </c>
      <c r="Q42" s="1" t="s">
        <v>385</v>
      </c>
    </row>
    <row r="43" customFormat="false" ht="12.8" hidden="false" customHeight="false" outlineLevel="0" collapsed="false">
      <c r="A43" s="1" t="s">
        <v>17</v>
      </c>
      <c r="B43" s="1" t="s">
        <v>110</v>
      </c>
      <c r="C43" s="1" t="s">
        <v>19</v>
      </c>
      <c r="D43" s="1" t="s">
        <v>386</v>
      </c>
      <c r="E43" s="1" t="s">
        <v>386</v>
      </c>
      <c r="F43" s="1" t="s">
        <v>387</v>
      </c>
      <c r="G43" s="1" t="s">
        <v>22</v>
      </c>
      <c r="H43" s="1" t="s">
        <v>388</v>
      </c>
      <c r="I43" s="3" t="b">
        <f aca="false">FALSE()</f>
        <v>0</v>
      </c>
      <c r="J43" s="1" t="s">
        <v>389</v>
      </c>
      <c r="K43" s="1" t="s">
        <v>239</v>
      </c>
      <c r="L43" s="1" t="s">
        <v>390</v>
      </c>
      <c r="M43" s="1" t="s">
        <v>391</v>
      </c>
      <c r="N43" s="1" t="s">
        <v>392</v>
      </c>
      <c r="O43" s="1" t="s">
        <v>393</v>
      </c>
      <c r="P43" s="1" t="s">
        <v>261</v>
      </c>
      <c r="Q43" s="1" t="s">
        <v>394</v>
      </c>
    </row>
    <row r="44" customFormat="false" ht="12.8" hidden="false" customHeight="false" outlineLevel="0" collapsed="false">
      <c r="A44" s="1" t="s">
        <v>17</v>
      </c>
      <c r="B44" s="1" t="s">
        <v>110</v>
      </c>
      <c r="C44" s="1" t="s">
        <v>19</v>
      </c>
      <c r="D44" s="1" t="s">
        <v>395</v>
      </c>
      <c r="E44" s="1" t="s">
        <v>395</v>
      </c>
      <c r="F44" s="1" t="s">
        <v>396</v>
      </c>
      <c r="G44" s="1" t="s">
        <v>22</v>
      </c>
      <c r="H44" s="1" t="s">
        <v>397</v>
      </c>
      <c r="I44" s="3" t="b">
        <f aca="false">FALSE()</f>
        <v>0</v>
      </c>
      <c r="J44" s="1" t="s">
        <v>398</v>
      </c>
      <c r="K44" s="1" t="s">
        <v>25</v>
      </c>
      <c r="L44" s="1" t="s">
        <v>177</v>
      </c>
      <c r="M44" s="1" t="s">
        <v>399</v>
      </c>
      <c r="N44" s="1" t="s">
        <v>400</v>
      </c>
      <c r="O44" s="1" t="s">
        <v>42</v>
      </c>
      <c r="P44" s="1" t="s">
        <v>181</v>
      </c>
      <c r="Q44" s="1" t="s">
        <v>401</v>
      </c>
    </row>
    <row r="45" customFormat="false" ht="12.8" hidden="false" customHeight="false" outlineLevel="0" collapsed="false">
      <c r="A45" s="1" t="s">
        <v>17</v>
      </c>
      <c r="B45" s="1" t="s">
        <v>110</v>
      </c>
      <c r="C45" s="1" t="s">
        <v>19</v>
      </c>
      <c r="D45" s="1" t="s">
        <v>402</v>
      </c>
      <c r="E45" s="1" t="s">
        <v>402</v>
      </c>
      <c r="F45" s="1" t="s">
        <v>403</v>
      </c>
      <c r="G45" s="1" t="s">
        <v>22</v>
      </c>
      <c r="H45" s="1" t="s">
        <v>404</v>
      </c>
      <c r="I45" s="3" t="b">
        <f aca="false">FALSE()</f>
        <v>0</v>
      </c>
      <c r="J45" s="1" t="s">
        <v>405</v>
      </c>
      <c r="K45" s="1" t="s">
        <v>147</v>
      </c>
      <c r="L45" s="1" t="s">
        <v>406</v>
      </c>
      <c r="M45" s="1" t="s">
        <v>407</v>
      </c>
      <c r="N45" s="1" t="s">
        <v>408</v>
      </c>
      <c r="O45" s="1" t="s">
        <v>151</v>
      </c>
      <c r="P45" s="1" t="s">
        <v>242</v>
      </c>
      <c r="Q45" s="1" t="s">
        <v>409</v>
      </c>
    </row>
    <row r="46" customFormat="false" ht="12.8" hidden="false" customHeight="false" outlineLevel="0" collapsed="false">
      <c r="A46" s="1" t="s">
        <v>17</v>
      </c>
      <c r="B46" s="1" t="s">
        <v>110</v>
      </c>
      <c r="C46" s="1" t="s">
        <v>19</v>
      </c>
      <c r="D46" s="1" t="s">
        <v>410</v>
      </c>
      <c r="E46" s="1" t="s">
        <v>410</v>
      </c>
      <c r="F46" s="1" t="s">
        <v>411</v>
      </c>
      <c r="G46" s="1" t="s">
        <v>22</v>
      </c>
      <c r="H46" s="1" t="s">
        <v>412</v>
      </c>
      <c r="I46" s="3" t="b">
        <f aca="false">FALSE()</f>
        <v>0</v>
      </c>
      <c r="J46" s="1" t="s">
        <v>413</v>
      </c>
      <c r="K46" s="1" t="s">
        <v>176</v>
      </c>
      <c r="L46" s="1" t="s">
        <v>414</v>
      </c>
      <c r="M46" s="1" t="s">
        <v>415</v>
      </c>
      <c r="N46" s="1" t="s">
        <v>120</v>
      </c>
      <c r="O46" s="1" t="s">
        <v>120</v>
      </c>
      <c r="P46" s="1" t="s">
        <v>252</v>
      </c>
      <c r="Q46" s="1" t="s">
        <v>416</v>
      </c>
    </row>
    <row r="47" customFormat="false" ht="12.8" hidden="false" customHeight="false" outlineLevel="0" collapsed="false">
      <c r="A47" s="1" t="s">
        <v>17</v>
      </c>
      <c r="B47" s="1" t="s">
        <v>110</v>
      </c>
      <c r="C47" s="1" t="s">
        <v>19</v>
      </c>
      <c r="D47" s="1" t="s">
        <v>417</v>
      </c>
      <c r="E47" s="1" t="s">
        <v>417</v>
      </c>
      <c r="F47" s="1" t="s">
        <v>418</v>
      </c>
      <c r="G47" s="1" t="s">
        <v>22</v>
      </c>
      <c r="H47" s="1" t="s">
        <v>419</v>
      </c>
      <c r="I47" s="3" t="b">
        <f aca="false">FALSE()</f>
        <v>0</v>
      </c>
      <c r="J47" s="1" t="s">
        <v>420</v>
      </c>
      <c r="K47" s="1" t="s">
        <v>137</v>
      </c>
      <c r="L47" s="1" t="s">
        <v>375</v>
      </c>
      <c r="M47" s="1" t="s">
        <v>421</v>
      </c>
      <c r="N47" s="1" t="s">
        <v>199</v>
      </c>
      <c r="O47" s="1" t="s">
        <v>422</v>
      </c>
      <c r="P47" s="1" t="s">
        <v>270</v>
      </c>
      <c r="Q47" s="1" t="s">
        <v>423</v>
      </c>
    </row>
    <row r="48" customFormat="false" ht="12.8" hidden="false" customHeight="false" outlineLevel="0" collapsed="false">
      <c r="A48" s="1" t="s">
        <v>17</v>
      </c>
      <c r="B48" s="1" t="s">
        <v>110</v>
      </c>
      <c r="C48" s="1" t="s">
        <v>19</v>
      </c>
      <c r="D48" s="1" t="s">
        <v>424</v>
      </c>
      <c r="E48" s="1" t="s">
        <v>424</v>
      </c>
      <c r="F48" s="1" t="s">
        <v>425</v>
      </c>
      <c r="G48" s="1" t="s">
        <v>22</v>
      </c>
      <c r="H48" s="1" t="s">
        <v>426</v>
      </c>
      <c r="I48" s="3" t="b">
        <f aca="false">FALSE()</f>
        <v>0</v>
      </c>
      <c r="J48" s="1" t="s">
        <v>427</v>
      </c>
      <c r="K48" s="1" t="s">
        <v>115</v>
      </c>
      <c r="L48" s="1" t="s">
        <v>116</v>
      </c>
      <c r="M48" s="1" t="s">
        <v>428</v>
      </c>
      <c r="N48" s="1" t="s">
        <v>287</v>
      </c>
      <c r="O48" s="1" t="s">
        <v>429</v>
      </c>
      <c r="P48" s="1" t="s">
        <v>120</v>
      </c>
      <c r="Q48" s="1" t="s">
        <v>430</v>
      </c>
    </row>
    <row r="49" customFormat="false" ht="12.8" hidden="false" customHeight="false" outlineLevel="0" collapsed="false">
      <c r="A49" s="1" t="s">
        <v>17</v>
      </c>
      <c r="B49" s="1" t="s">
        <v>110</v>
      </c>
      <c r="C49" s="1" t="s">
        <v>19</v>
      </c>
      <c r="D49" s="1" t="s">
        <v>431</v>
      </c>
      <c r="E49" s="1" t="s">
        <v>431</v>
      </c>
      <c r="F49" s="1" t="s">
        <v>432</v>
      </c>
      <c r="G49" s="1" t="s">
        <v>22</v>
      </c>
      <c r="H49" s="1" t="s">
        <v>433</v>
      </c>
      <c r="I49" s="3" t="b">
        <f aca="false">FALSE()</f>
        <v>0</v>
      </c>
      <c r="J49" s="1" t="s">
        <v>434</v>
      </c>
      <c r="K49" s="1" t="s">
        <v>126</v>
      </c>
      <c r="L49" s="1" t="s">
        <v>167</v>
      </c>
      <c r="M49" s="1" t="s">
        <v>435</v>
      </c>
      <c r="N49" s="1" t="s">
        <v>436</v>
      </c>
      <c r="O49" s="1" t="s">
        <v>130</v>
      </c>
      <c r="P49" s="1" t="s">
        <v>181</v>
      </c>
      <c r="Q49" s="1" t="s">
        <v>437</v>
      </c>
    </row>
    <row r="50" customFormat="false" ht="12.8" hidden="false" customHeight="false" outlineLevel="0" collapsed="false">
      <c r="A50" s="1" t="s">
        <v>17</v>
      </c>
      <c r="B50" s="1" t="s">
        <v>110</v>
      </c>
      <c r="C50" s="1" t="s">
        <v>19</v>
      </c>
      <c r="D50" s="1" t="s">
        <v>438</v>
      </c>
      <c r="E50" s="1" t="s">
        <v>438</v>
      </c>
      <c r="F50" s="1" t="s">
        <v>439</v>
      </c>
      <c r="G50" s="1" t="s">
        <v>22</v>
      </c>
      <c r="H50" s="1" t="s">
        <v>440</v>
      </c>
      <c r="I50" s="3" t="b">
        <f aca="false">FALSE()</f>
        <v>0</v>
      </c>
      <c r="J50" s="1" t="s">
        <v>441</v>
      </c>
      <c r="K50" s="1" t="s">
        <v>137</v>
      </c>
      <c r="L50" s="1" t="s">
        <v>148</v>
      </c>
      <c r="M50" s="1" t="s">
        <v>442</v>
      </c>
      <c r="N50" s="1" t="s">
        <v>443</v>
      </c>
      <c r="O50" s="1" t="s">
        <v>41</v>
      </c>
      <c r="P50" s="1" t="s">
        <v>261</v>
      </c>
      <c r="Q50" s="1" t="s">
        <v>444</v>
      </c>
    </row>
    <row r="51" customFormat="false" ht="12.8" hidden="false" customHeight="false" outlineLevel="0" collapsed="false">
      <c r="A51" s="1" t="s">
        <v>17</v>
      </c>
      <c r="B51" s="1" t="s">
        <v>110</v>
      </c>
      <c r="C51" s="1" t="s">
        <v>19</v>
      </c>
      <c r="D51" s="1" t="s">
        <v>445</v>
      </c>
      <c r="E51" s="1" t="s">
        <v>445</v>
      </c>
      <c r="F51" s="1" t="s">
        <v>446</v>
      </c>
      <c r="G51" s="1" t="s">
        <v>22</v>
      </c>
      <c r="H51" s="1" t="s">
        <v>447</v>
      </c>
      <c r="I51" s="3" t="b">
        <f aca="false">FALSE()</f>
        <v>0</v>
      </c>
      <c r="J51" s="1" t="s">
        <v>448</v>
      </c>
      <c r="K51" s="1" t="s">
        <v>137</v>
      </c>
      <c r="L51" s="1" t="s">
        <v>449</v>
      </c>
      <c r="M51" s="1" t="s">
        <v>450</v>
      </c>
      <c r="N51" s="1" t="s">
        <v>287</v>
      </c>
      <c r="O51" s="1" t="s">
        <v>429</v>
      </c>
      <c r="P51" s="1" t="s">
        <v>141</v>
      </c>
      <c r="Q51" s="1" t="s">
        <v>451</v>
      </c>
    </row>
    <row r="52" customFormat="false" ht="12.8" hidden="false" customHeight="false" outlineLevel="0" collapsed="false">
      <c r="A52" s="1" t="s">
        <v>17</v>
      </c>
      <c r="B52" s="1" t="s">
        <v>110</v>
      </c>
      <c r="C52" s="1" t="s">
        <v>19</v>
      </c>
      <c r="D52" s="1" t="s">
        <v>452</v>
      </c>
      <c r="E52" s="1" t="s">
        <v>452</v>
      </c>
      <c r="F52" s="1" t="s">
        <v>453</v>
      </c>
      <c r="G52" s="1" t="s">
        <v>22</v>
      </c>
      <c r="H52" s="1" t="s">
        <v>454</v>
      </c>
      <c r="I52" s="3" t="b">
        <f aca="false">FALSE()</f>
        <v>0</v>
      </c>
      <c r="J52" s="1" t="s">
        <v>455</v>
      </c>
      <c r="K52" s="1" t="s">
        <v>197</v>
      </c>
      <c r="L52" s="1" t="s">
        <v>177</v>
      </c>
      <c r="M52" s="1" t="s">
        <v>456</v>
      </c>
      <c r="N52" s="1" t="s">
        <v>216</v>
      </c>
      <c r="O52" s="1" t="s">
        <v>41</v>
      </c>
      <c r="P52" s="1" t="s">
        <v>181</v>
      </c>
      <c r="Q52" s="1" t="s">
        <v>457</v>
      </c>
    </row>
    <row r="53" customFormat="false" ht="12.8" hidden="false" customHeight="false" outlineLevel="0" collapsed="false">
      <c r="A53" s="1" t="s">
        <v>17</v>
      </c>
      <c r="B53" s="1" t="s">
        <v>110</v>
      </c>
      <c r="C53" s="1" t="s">
        <v>19</v>
      </c>
      <c r="D53" s="1" t="s">
        <v>458</v>
      </c>
      <c r="E53" s="1" t="s">
        <v>458</v>
      </c>
      <c r="F53" s="1" t="s">
        <v>459</v>
      </c>
      <c r="G53" s="1" t="s">
        <v>22</v>
      </c>
      <c r="H53" s="1" t="s">
        <v>460</v>
      </c>
      <c r="I53" s="3" t="b">
        <f aca="false">FALSE()</f>
        <v>0</v>
      </c>
      <c r="J53" s="1" t="s">
        <v>461</v>
      </c>
      <c r="K53" s="1" t="s">
        <v>49</v>
      </c>
      <c r="L53" s="1" t="s">
        <v>358</v>
      </c>
      <c r="M53" s="1" t="s">
        <v>462</v>
      </c>
      <c r="N53" s="1" t="s">
        <v>463</v>
      </c>
      <c r="O53" s="1" t="s">
        <v>242</v>
      </c>
      <c r="P53" s="1" t="s">
        <v>29</v>
      </c>
      <c r="Q53" s="1" t="s">
        <v>464</v>
      </c>
    </row>
    <row r="54" customFormat="false" ht="12.8" hidden="false" customHeight="false" outlineLevel="0" collapsed="false">
      <c r="A54" s="1" t="s">
        <v>17</v>
      </c>
      <c r="B54" s="1" t="s">
        <v>110</v>
      </c>
      <c r="C54" s="1" t="s">
        <v>19</v>
      </c>
      <c r="D54" s="1" t="s">
        <v>465</v>
      </c>
      <c r="E54" s="1" t="s">
        <v>465</v>
      </c>
      <c r="F54" s="1" t="s">
        <v>466</v>
      </c>
      <c r="G54" s="1" t="s">
        <v>22</v>
      </c>
      <c r="H54" s="1" t="s">
        <v>467</v>
      </c>
      <c r="I54" s="3" t="b">
        <f aca="false">FALSE()</f>
        <v>0</v>
      </c>
      <c r="J54" s="1" t="s">
        <v>468</v>
      </c>
      <c r="K54" s="1" t="s">
        <v>25</v>
      </c>
      <c r="L54" s="1" t="s">
        <v>177</v>
      </c>
      <c r="M54" s="1" t="s">
        <v>469</v>
      </c>
      <c r="N54" s="1" t="s">
        <v>41</v>
      </c>
      <c r="O54" s="1" t="s">
        <v>470</v>
      </c>
      <c r="P54" s="1" t="s">
        <v>261</v>
      </c>
      <c r="Q54" s="1" t="s">
        <v>471</v>
      </c>
    </row>
    <row r="55" customFormat="false" ht="12.8" hidden="false" customHeight="false" outlineLevel="0" collapsed="false">
      <c r="A55" s="1" t="s">
        <v>17</v>
      </c>
      <c r="B55" s="1" t="s">
        <v>110</v>
      </c>
      <c r="C55" s="1" t="s">
        <v>19</v>
      </c>
      <c r="D55" s="1" t="s">
        <v>472</v>
      </c>
      <c r="E55" s="1" t="s">
        <v>472</v>
      </c>
      <c r="F55" s="1" t="s">
        <v>473</v>
      </c>
      <c r="G55" s="1" t="s">
        <v>22</v>
      </c>
      <c r="H55" s="1" t="s">
        <v>474</v>
      </c>
      <c r="I55" s="3" t="b">
        <f aca="false">FALSE()</f>
        <v>0</v>
      </c>
      <c r="J55" s="1" t="s">
        <v>475</v>
      </c>
      <c r="K55" s="1" t="s">
        <v>137</v>
      </c>
      <c r="L55" s="1" t="s">
        <v>285</v>
      </c>
      <c r="M55" s="1" t="s">
        <v>476</v>
      </c>
      <c r="N55" s="1" t="s">
        <v>269</v>
      </c>
      <c r="O55" s="1" t="s">
        <v>278</v>
      </c>
      <c r="P55" s="1" t="s">
        <v>42</v>
      </c>
      <c r="Q55" s="1" t="s">
        <v>477</v>
      </c>
    </row>
    <row r="56" customFormat="false" ht="12.8" hidden="false" customHeight="false" outlineLevel="0" collapsed="false">
      <c r="A56" s="1" t="s">
        <v>17</v>
      </c>
      <c r="B56" s="1" t="s">
        <v>110</v>
      </c>
      <c r="C56" s="1" t="s">
        <v>19</v>
      </c>
      <c r="D56" s="1" t="s">
        <v>478</v>
      </c>
      <c r="E56" s="1" t="s">
        <v>478</v>
      </c>
      <c r="F56" s="1" t="s">
        <v>479</v>
      </c>
      <c r="G56" s="1" t="s">
        <v>22</v>
      </c>
      <c r="H56" s="1" t="s">
        <v>480</v>
      </c>
      <c r="I56" s="3" t="b">
        <f aca="false">FALSE()</f>
        <v>0</v>
      </c>
      <c r="J56" s="1" t="s">
        <v>481</v>
      </c>
      <c r="K56" s="1" t="s">
        <v>137</v>
      </c>
      <c r="L56" s="1" t="s">
        <v>167</v>
      </c>
      <c r="M56" s="1" t="s">
        <v>482</v>
      </c>
      <c r="N56" s="1" t="s">
        <v>483</v>
      </c>
      <c r="O56" s="1" t="s">
        <v>484</v>
      </c>
      <c r="P56" s="1" t="s">
        <v>131</v>
      </c>
      <c r="Q56" s="1" t="s">
        <v>485</v>
      </c>
    </row>
    <row r="57" customFormat="false" ht="12.8" hidden="false" customHeight="false" outlineLevel="0" collapsed="false">
      <c r="A57" s="1" t="s">
        <v>17</v>
      </c>
      <c r="B57" s="1" t="s">
        <v>110</v>
      </c>
      <c r="C57" s="1" t="s">
        <v>19</v>
      </c>
      <c r="D57" s="1" t="s">
        <v>486</v>
      </c>
      <c r="E57" s="1" t="s">
        <v>486</v>
      </c>
      <c r="F57" s="1" t="s">
        <v>487</v>
      </c>
      <c r="G57" s="1" t="s">
        <v>22</v>
      </c>
      <c r="H57" s="1" t="s">
        <v>488</v>
      </c>
      <c r="I57" s="3" t="b">
        <f aca="false">FALSE()</f>
        <v>0</v>
      </c>
      <c r="J57" s="1" t="s">
        <v>489</v>
      </c>
      <c r="K57" s="1" t="s">
        <v>25</v>
      </c>
      <c r="L57" s="1" t="s">
        <v>490</v>
      </c>
      <c r="M57" s="1" t="s">
        <v>491</v>
      </c>
      <c r="N57" s="1" t="s">
        <v>492</v>
      </c>
      <c r="O57" s="1" t="s">
        <v>493</v>
      </c>
      <c r="P57" s="1" t="s">
        <v>252</v>
      </c>
      <c r="Q57" s="1" t="s">
        <v>494</v>
      </c>
    </row>
    <row r="58" customFormat="false" ht="12.8" hidden="false" customHeight="false" outlineLevel="0" collapsed="false">
      <c r="A58" s="1" t="s">
        <v>17</v>
      </c>
      <c r="B58" s="1" t="s">
        <v>110</v>
      </c>
      <c r="C58" s="1" t="s">
        <v>19</v>
      </c>
      <c r="D58" s="1" t="s">
        <v>495</v>
      </c>
      <c r="E58" s="1" t="s">
        <v>495</v>
      </c>
      <c r="F58" s="1" t="s">
        <v>496</v>
      </c>
      <c r="G58" s="1" t="s">
        <v>22</v>
      </c>
      <c r="H58" s="1" t="s">
        <v>497</v>
      </c>
      <c r="I58" s="3" t="b">
        <f aca="false">FALSE()</f>
        <v>0</v>
      </c>
      <c r="J58" s="1" t="s">
        <v>498</v>
      </c>
      <c r="K58" s="1" t="s">
        <v>137</v>
      </c>
      <c r="L58" s="1" t="s">
        <v>167</v>
      </c>
      <c r="M58" s="1" t="s">
        <v>499</v>
      </c>
      <c r="N58" s="1" t="s">
        <v>500</v>
      </c>
      <c r="O58" s="1" t="s">
        <v>501</v>
      </c>
      <c r="P58" s="1" t="s">
        <v>181</v>
      </c>
      <c r="Q58" s="1" t="s">
        <v>502</v>
      </c>
    </row>
    <row r="59" customFormat="false" ht="12.8" hidden="false" customHeight="false" outlineLevel="0" collapsed="false">
      <c r="A59" s="1" t="s">
        <v>17</v>
      </c>
      <c r="B59" s="1" t="s">
        <v>110</v>
      </c>
      <c r="C59" s="1" t="s">
        <v>19</v>
      </c>
      <c r="D59" s="1" t="s">
        <v>503</v>
      </c>
      <c r="E59" s="1" t="s">
        <v>503</v>
      </c>
      <c r="F59" s="1" t="s">
        <v>504</v>
      </c>
      <c r="G59" s="1" t="s">
        <v>22</v>
      </c>
      <c r="H59" s="1" t="s">
        <v>505</v>
      </c>
      <c r="I59" s="3" t="b">
        <f aca="false">FALSE()</f>
        <v>0</v>
      </c>
      <c r="J59" s="1" t="s">
        <v>506</v>
      </c>
      <c r="K59" s="1" t="s">
        <v>137</v>
      </c>
      <c r="L59" s="1" t="s">
        <v>507</v>
      </c>
      <c r="M59" s="1" t="s">
        <v>508</v>
      </c>
      <c r="N59" s="1" t="s">
        <v>199</v>
      </c>
      <c r="O59" s="1" t="s">
        <v>509</v>
      </c>
      <c r="P59" s="1" t="s">
        <v>141</v>
      </c>
      <c r="Q59" s="1" t="s">
        <v>510</v>
      </c>
    </row>
    <row r="60" customFormat="false" ht="12.8" hidden="false" customHeight="false" outlineLevel="0" collapsed="false">
      <c r="A60" s="1" t="s">
        <v>17</v>
      </c>
      <c r="B60" s="1" t="s">
        <v>110</v>
      </c>
      <c r="C60" s="1" t="s">
        <v>19</v>
      </c>
      <c r="D60" s="1" t="s">
        <v>511</v>
      </c>
      <c r="E60" s="1" t="s">
        <v>511</v>
      </c>
      <c r="F60" s="1" t="s">
        <v>512</v>
      </c>
      <c r="G60" s="1" t="s">
        <v>22</v>
      </c>
      <c r="H60" s="1" t="s">
        <v>513</v>
      </c>
      <c r="I60" s="3" t="b">
        <f aca="false">FALSE()</f>
        <v>0</v>
      </c>
      <c r="J60" s="1" t="s">
        <v>514</v>
      </c>
      <c r="K60" s="1" t="s">
        <v>49</v>
      </c>
      <c r="L60" s="1" t="s">
        <v>515</v>
      </c>
      <c r="M60" s="1" t="s">
        <v>516</v>
      </c>
      <c r="N60" s="1" t="s">
        <v>517</v>
      </c>
      <c r="O60" s="1" t="s">
        <v>518</v>
      </c>
      <c r="P60" s="1" t="s">
        <v>181</v>
      </c>
      <c r="Q60" s="1" t="s">
        <v>519</v>
      </c>
    </row>
    <row r="61" customFormat="false" ht="12.8" hidden="false" customHeight="false" outlineLevel="0" collapsed="false">
      <c r="A61" s="1" t="s">
        <v>17</v>
      </c>
      <c r="B61" s="1" t="s">
        <v>110</v>
      </c>
      <c r="C61" s="1" t="s">
        <v>19</v>
      </c>
      <c r="D61" s="1" t="s">
        <v>520</v>
      </c>
      <c r="E61" s="1" t="s">
        <v>520</v>
      </c>
      <c r="F61" s="1" t="s">
        <v>521</v>
      </c>
      <c r="G61" s="1" t="s">
        <v>22</v>
      </c>
      <c r="H61" s="1" t="s">
        <v>522</v>
      </c>
      <c r="I61" s="3" t="b">
        <f aca="false">FALSE()</f>
        <v>0</v>
      </c>
      <c r="J61" s="1" t="s">
        <v>523</v>
      </c>
      <c r="K61" s="1" t="s">
        <v>524</v>
      </c>
      <c r="L61" s="1" t="s">
        <v>525</v>
      </c>
      <c r="M61" s="1" t="s">
        <v>526</v>
      </c>
      <c r="N61" s="1" t="s">
        <v>216</v>
      </c>
      <c r="O61" s="1" t="s">
        <v>120</v>
      </c>
      <c r="P61" s="1" t="s">
        <v>181</v>
      </c>
      <c r="Q61" s="1" t="s">
        <v>527</v>
      </c>
    </row>
    <row r="62" customFormat="false" ht="12.8" hidden="false" customHeight="false" outlineLevel="0" collapsed="false">
      <c r="A62" s="1" t="s">
        <v>17</v>
      </c>
      <c r="B62" s="1" t="s">
        <v>110</v>
      </c>
      <c r="C62" s="1" t="s">
        <v>19</v>
      </c>
      <c r="D62" s="1" t="s">
        <v>528</v>
      </c>
      <c r="E62" s="1" t="s">
        <v>528</v>
      </c>
      <c r="F62" s="1" t="s">
        <v>529</v>
      </c>
      <c r="G62" s="1" t="s">
        <v>22</v>
      </c>
      <c r="H62" s="1" t="s">
        <v>530</v>
      </c>
      <c r="I62" s="3" t="b">
        <f aca="false">FALSE()</f>
        <v>0</v>
      </c>
      <c r="J62" s="1" t="s">
        <v>531</v>
      </c>
      <c r="K62" s="1" t="s">
        <v>137</v>
      </c>
      <c r="L62" s="1" t="s">
        <v>158</v>
      </c>
      <c r="M62" s="1" t="s">
        <v>532</v>
      </c>
      <c r="N62" s="1" t="s">
        <v>533</v>
      </c>
      <c r="O62" s="1" t="s">
        <v>534</v>
      </c>
      <c r="P62" s="1" t="s">
        <v>261</v>
      </c>
      <c r="Q62" s="1" t="s">
        <v>535</v>
      </c>
    </row>
    <row r="63" customFormat="false" ht="12.8" hidden="false" customHeight="false" outlineLevel="0" collapsed="false">
      <c r="A63" s="1" t="s">
        <v>17</v>
      </c>
      <c r="B63" s="1" t="s">
        <v>110</v>
      </c>
      <c r="C63" s="1" t="s">
        <v>19</v>
      </c>
      <c r="D63" s="1" t="s">
        <v>536</v>
      </c>
      <c r="E63" s="1" t="s">
        <v>536</v>
      </c>
      <c r="F63" s="1" t="s">
        <v>537</v>
      </c>
      <c r="G63" s="1" t="s">
        <v>22</v>
      </c>
      <c r="H63" s="1" t="s">
        <v>538</v>
      </c>
      <c r="I63" s="3" t="b">
        <f aca="false">FALSE()</f>
        <v>0</v>
      </c>
      <c r="J63" s="1" t="s">
        <v>539</v>
      </c>
      <c r="K63" s="1" t="s">
        <v>176</v>
      </c>
      <c r="L63" s="1" t="s">
        <v>177</v>
      </c>
      <c r="M63" s="1" t="s">
        <v>540</v>
      </c>
      <c r="N63" s="1" t="s">
        <v>541</v>
      </c>
      <c r="O63" s="1" t="s">
        <v>63</v>
      </c>
      <c r="P63" s="1" t="s">
        <v>181</v>
      </c>
      <c r="Q63" s="1" t="s">
        <v>542</v>
      </c>
    </row>
    <row r="64" customFormat="false" ht="12.8" hidden="false" customHeight="false" outlineLevel="0" collapsed="false">
      <c r="A64" s="1" t="s">
        <v>17</v>
      </c>
      <c r="B64" s="1" t="s">
        <v>110</v>
      </c>
      <c r="C64" s="1" t="s">
        <v>19</v>
      </c>
      <c r="D64" s="1" t="s">
        <v>543</v>
      </c>
      <c r="E64" s="1" t="s">
        <v>543</v>
      </c>
      <c r="F64" s="1" t="s">
        <v>544</v>
      </c>
      <c r="G64" s="1" t="s">
        <v>22</v>
      </c>
      <c r="H64" s="1" t="s">
        <v>545</v>
      </c>
      <c r="I64" s="3" t="b">
        <f aca="false">FALSE()</f>
        <v>0</v>
      </c>
      <c r="J64" s="1" t="s">
        <v>546</v>
      </c>
      <c r="K64" s="1" t="s">
        <v>137</v>
      </c>
      <c r="L64" s="1" t="s">
        <v>167</v>
      </c>
      <c r="M64" s="1" t="s">
        <v>547</v>
      </c>
      <c r="N64" s="1" t="s">
        <v>548</v>
      </c>
      <c r="O64" s="1" t="s">
        <v>199</v>
      </c>
      <c r="P64" s="1" t="s">
        <v>42</v>
      </c>
      <c r="Q64" s="1" t="s">
        <v>549</v>
      </c>
    </row>
    <row r="65" customFormat="false" ht="12.8" hidden="false" customHeight="false" outlineLevel="0" collapsed="false">
      <c r="A65" s="1" t="s">
        <v>17</v>
      </c>
      <c r="B65" s="1" t="s">
        <v>110</v>
      </c>
      <c r="C65" s="1" t="s">
        <v>19</v>
      </c>
      <c r="D65" s="1" t="s">
        <v>550</v>
      </c>
      <c r="E65" s="1" t="s">
        <v>550</v>
      </c>
      <c r="F65" s="1" t="s">
        <v>551</v>
      </c>
      <c r="G65" s="1" t="s">
        <v>22</v>
      </c>
      <c r="H65" s="1" t="s">
        <v>552</v>
      </c>
      <c r="I65" s="3" t="b">
        <f aca="false">FALSE()</f>
        <v>0</v>
      </c>
      <c r="J65" s="1" t="s">
        <v>553</v>
      </c>
      <c r="K65" s="1" t="s">
        <v>197</v>
      </c>
      <c r="L65" s="1" t="s">
        <v>515</v>
      </c>
      <c r="M65" s="1" t="s">
        <v>554</v>
      </c>
      <c r="N65" s="1" t="s">
        <v>278</v>
      </c>
      <c r="O65" s="1" t="s">
        <v>342</v>
      </c>
      <c r="P65" s="1" t="s">
        <v>181</v>
      </c>
      <c r="Q65" s="1" t="s">
        <v>555</v>
      </c>
    </row>
    <row r="66" customFormat="false" ht="12.8" hidden="false" customHeight="false" outlineLevel="0" collapsed="false">
      <c r="A66" s="1" t="s">
        <v>17</v>
      </c>
      <c r="B66" s="1" t="s">
        <v>110</v>
      </c>
      <c r="C66" s="1" t="s">
        <v>19</v>
      </c>
      <c r="D66" s="1" t="s">
        <v>556</v>
      </c>
      <c r="E66" s="1" t="s">
        <v>556</v>
      </c>
      <c r="F66" s="1" t="s">
        <v>557</v>
      </c>
      <c r="G66" s="1" t="s">
        <v>22</v>
      </c>
      <c r="H66" s="1" t="s">
        <v>558</v>
      </c>
      <c r="I66" s="3" t="b">
        <f aca="false">FALSE()</f>
        <v>0</v>
      </c>
      <c r="J66" s="1" t="s">
        <v>559</v>
      </c>
      <c r="K66" s="1" t="s">
        <v>137</v>
      </c>
      <c r="L66" s="1" t="s">
        <v>285</v>
      </c>
      <c r="M66" s="1" t="s">
        <v>560</v>
      </c>
      <c r="N66" s="1" t="s">
        <v>561</v>
      </c>
      <c r="O66" s="1" t="s">
        <v>562</v>
      </c>
      <c r="P66" s="1" t="s">
        <v>141</v>
      </c>
      <c r="Q66" s="1" t="s">
        <v>563</v>
      </c>
    </row>
    <row r="67" customFormat="false" ht="12.8" hidden="false" customHeight="false" outlineLevel="0" collapsed="false">
      <c r="A67" s="1" t="s">
        <v>17</v>
      </c>
      <c r="B67" s="1" t="s">
        <v>110</v>
      </c>
      <c r="C67" s="1" t="s">
        <v>19</v>
      </c>
      <c r="D67" s="1" t="s">
        <v>564</v>
      </c>
      <c r="E67" s="1" t="s">
        <v>564</v>
      </c>
      <c r="F67" s="1" t="s">
        <v>565</v>
      </c>
      <c r="G67" s="1" t="s">
        <v>22</v>
      </c>
      <c r="H67" s="1" t="s">
        <v>566</v>
      </c>
      <c r="I67" s="3" t="b">
        <f aca="false">FALSE()</f>
        <v>0</v>
      </c>
      <c r="J67" s="1" t="s">
        <v>567</v>
      </c>
      <c r="K67" s="1" t="s">
        <v>147</v>
      </c>
      <c r="L67" s="1" t="s">
        <v>568</v>
      </c>
      <c r="M67" s="1" t="s">
        <v>569</v>
      </c>
      <c r="N67" s="1" t="s">
        <v>570</v>
      </c>
      <c r="O67" s="1" t="s">
        <v>571</v>
      </c>
      <c r="P67" s="1" t="s">
        <v>252</v>
      </c>
      <c r="Q67" s="1" t="s">
        <v>572</v>
      </c>
    </row>
    <row r="68" customFormat="false" ht="12.8" hidden="false" customHeight="false" outlineLevel="0" collapsed="false">
      <c r="A68" s="1" t="s">
        <v>17</v>
      </c>
      <c r="B68" s="1" t="s">
        <v>110</v>
      </c>
      <c r="C68" s="1" t="s">
        <v>19</v>
      </c>
      <c r="D68" s="1" t="s">
        <v>573</v>
      </c>
      <c r="E68" s="1" t="s">
        <v>573</v>
      </c>
      <c r="F68" s="1" t="s">
        <v>574</v>
      </c>
      <c r="G68" s="1" t="s">
        <v>22</v>
      </c>
      <c r="H68" s="1" t="s">
        <v>575</v>
      </c>
      <c r="I68" s="3" t="b">
        <f aca="false">FALSE()</f>
        <v>0</v>
      </c>
      <c r="J68" s="1" t="s">
        <v>576</v>
      </c>
      <c r="K68" s="1" t="s">
        <v>577</v>
      </c>
      <c r="L68" s="1" t="s">
        <v>578</v>
      </c>
      <c r="M68" s="1" t="s">
        <v>579</v>
      </c>
      <c r="N68" s="1" t="s">
        <v>41</v>
      </c>
      <c r="O68" s="1" t="s">
        <v>548</v>
      </c>
      <c r="P68" s="1" t="s">
        <v>42</v>
      </c>
      <c r="Q68" s="1" t="s">
        <v>580</v>
      </c>
    </row>
    <row r="69" customFormat="false" ht="12.8" hidden="false" customHeight="false" outlineLevel="0" collapsed="false">
      <c r="A69" s="1" t="s">
        <v>17</v>
      </c>
      <c r="B69" s="1" t="s">
        <v>110</v>
      </c>
      <c r="C69" s="1" t="s">
        <v>19</v>
      </c>
      <c r="D69" s="1" t="s">
        <v>581</v>
      </c>
      <c r="E69" s="1" t="s">
        <v>581</v>
      </c>
      <c r="F69" s="1" t="s">
        <v>582</v>
      </c>
      <c r="G69" s="1" t="s">
        <v>22</v>
      </c>
      <c r="H69" s="1" t="s">
        <v>583</v>
      </c>
      <c r="I69" s="3" t="b">
        <f aca="false">FALSE()</f>
        <v>0</v>
      </c>
      <c r="J69" s="1" t="s">
        <v>584</v>
      </c>
      <c r="K69" s="1" t="s">
        <v>197</v>
      </c>
      <c r="L69" s="1" t="s">
        <v>585</v>
      </c>
      <c r="M69" s="1" t="s">
        <v>586</v>
      </c>
      <c r="N69" s="1" t="s">
        <v>320</v>
      </c>
      <c r="O69" s="1" t="s">
        <v>470</v>
      </c>
      <c r="P69" s="1" t="s">
        <v>181</v>
      </c>
      <c r="Q69" s="1" t="s">
        <v>587</v>
      </c>
    </row>
    <row r="70" customFormat="false" ht="12.8" hidden="false" customHeight="false" outlineLevel="0" collapsed="false">
      <c r="A70" s="1" t="s">
        <v>17</v>
      </c>
      <c r="B70" s="1" t="s">
        <v>110</v>
      </c>
      <c r="C70" s="1" t="s">
        <v>19</v>
      </c>
      <c r="D70" s="1" t="s">
        <v>588</v>
      </c>
      <c r="E70" s="1" t="s">
        <v>588</v>
      </c>
      <c r="F70" s="1" t="s">
        <v>589</v>
      </c>
      <c r="G70" s="1" t="s">
        <v>22</v>
      </c>
      <c r="H70" s="1" t="s">
        <v>590</v>
      </c>
      <c r="I70" s="3" t="b">
        <f aca="false">FALSE()</f>
        <v>0</v>
      </c>
      <c r="J70" s="1" t="s">
        <v>591</v>
      </c>
      <c r="K70" s="1" t="s">
        <v>147</v>
      </c>
      <c r="L70" s="1" t="s">
        <v>158</v>
      </c>
      <c r="M70" s="1" t="s">
        <v>592</v>
      </c>
      <c r="N70" s="1" t="s">
        <v>593</v>
      </c>
      <c r="O70" s="1" t="s">
        <v>243</v>
      </c>
      <c r="P70" s="1" t="s">
        <v>233</v>
      </c>
      <c r="Q70" s="1" t="s">
        <v>594</v>
      </c>
    </row>
    <row r="71" customFormat="false" ht="12.8" hidden="false" customHeight="false" outlineLevel="0" collapsed="false">
      <c r="A71" s="1" t="s">
        <v>17</v>
      </c>
      <c r="B71" s="1" t="s">
        <v>110</v>
      </c>
      <c r="C71" s="1" t="s">
        <v>19</v>
      </c>
      <c r="D71" s="1" t="s">
        <v>595</v>
      </c>
      <c r="E71" s="1" t="s">
        <v>595</v>
      </c>
      <c r="F71" s="1" t="s">
        <v>596</v>
      </c>
      <c r="G71" s="1" t="s">
        <v>22</v>
      </c>
      <c r="H71" s="1" t="s">
        <v>597</v>
      </c>
      <c r="I71" s="3" t="b">
        <f aca="false">FALSE()</f>
        <v>0</v>
      </c>
      <c r="J71" s="1" t="s">
        <v>598</v>
      </c>
      <c r="K71" s="1" t="s">
        <v>126</v>
      </c>
      <c r="L71" s="1" t="s">
        <v>177</v>
      </c>
      <c r="M71" s="1" t="s">
        <v>599</v>
      </c>
      <c r="N71" s="1" t="s">
        <v>600</v>
      </c>
      <c r="O71" s="1" t="s">
        <v>28</v>
      </c>
      <c r="P71" s="1" t="s">
        <v>601</v>
      </c>
      <c r="Q71" s="1" t="s">
        <v>602</v>
      </c>
    </row>
    <row r="72" customFormat="false" ht="12.8" hidden="false" customHeight="false" outlineLevel="0" collapsed="false">
      <c r="A72" s="1" t="s">
        <v>17</v>
      </c>
      <c r="B72" s="1" t="s">
        <v>110</v>
      </c>
      <c r="C72" s="1" t="s">
        <v>19</v>
      </c>
      <c r="D72" s="1" t="s">
        <v>603</v>
      </c>
      <c r="E72" s="1" t="s">
        <v>603</v>
      </c>
      <c r="F72" s="1" t="s">
        <v>604</v>
      </c>
      <c r="G72" s="1" t="s">
        <v>22</v>
      </c>
      <c r="H72" s="1" t="s">
        <v>605</v>
      </c>
      <c r="I72" s="3" t="b">
        <f aca="false">FALSE()</f>
        <v>0</v>
      </c>
      <c r="J72" s="1" t="s">
        <v>606</v>
      </c>
      <c r="K72" s="1" t="s">
        <v>126</v>
      </c>
      <c r="L72" s="1" t="s">
        <v>167</v>
      </c>
      <c r="M72" s="1" t="s">
        <v>607</v>
      </c>
      <c r="N72" s="1" t="s">
        <v>608</v>
      </c>
      <c r="O72" s="1" t="s">
        <v>609</v>
      </c>
      <c r="P72" s="1" t="s">
        <v>131</v>
      </c>
      <c r="Q72" s="1" t="s">
        <v>610</v>
      </c>
    </row>
    <row r="73" customFormat="false" ht="12.8" hidden="false" customHeight="false" outlineLevel="0" collapsed="false">
      <c r="A73" s="1" t="s">
        <v>17</v>
      </c>
      <c r="B73" s="1" t="s">
        <v>110</v>
      </c>
      <c r="C73" s="1" t="s">
        <v>19</v>
      </c>
      <c r="D73" s="1" t="s">
        <v>611</v>
      </c>
      <c r="E73" s="1" t="s">
        <v>611</v>
      </c>
      <c r="F73" s="1" t="s">
        <v>612</v>
      </c>
      <c r="G73" s="1" t="s">
        <v>22</v>
      </c>
      <c r="H73" s="1" t="s">
        <v>613</v>
      </c>
      <c r="I73" s="3" t="b">
        <f aca="false">FALSE()</f>
        <v>0</v>
      </c>
      <c r="J73" s="1" t="s">
        <v>614</v>
      </c>
      <c r="K73" s="1" t="s">
        <v>137</v>
      </c>
      <c r="L73" s="1" t="s">
        <v>615</v>
      </c>
      <c r="M73" s="1" t="s">
        <v>616</v>
      </c>
      <c r="N73" s="1" t="s">
        <v>617</v>
      </c>
      <c r="O73" s="1" t="s">
        <v>571</v>
      </c>
      <c r="P73" s="1" t="s">
        <v>130</v>
      </c>
      <c r="Q73" s="1" t="s">
        <v>618</v>
      </c>
    </row>
    <row r="74" customFormat="false" ht="12.8" hidden="false" customHeight="false" outlineLevel="0" collapsed="false">
      <c r="A74" s="1" t="s">
        <v>17</v>
      </c>
      <c r="B74" s="1" t="s">
        <v>110</v>
      </c>
      <c r="C74" s="1" t="s">
        <v>19</v>
      </c>
      <c r="D74" s="1" t="s">
        <v>619</v>
      </c>
      <c r="E74" s="1" t="s">
        <v>619</v>
      </c>
      <c r="F74" s="1" t="s">
        <v>620</v>
      </c>
      <c r="G74" s="1" t="s">
        <v>22</v>
      </c>
      <c r="H74" s="1" t="s">
        <v>621</v>
      </c>
      <c r="I74" s="3" t="b">
        <f aca="false">FALSE()</f>
        <v>0</v>
      </c>
      <c r="J74" s="1" t="s">
        <v>622</v>
      </c>
      <c r="K74" s="1" t="s">
        <v>147</v>
      </c>
      <c r="L74" s="1" t="s">
        <v>158</v>
      </c>
      <c r="M74" s="1" t="s">
        <v>623</v>
      </c>
      <c r="N74" s="1" t="s">
        <v>624</v>
      </c>
      <c r="O74" s="1" t="s">
        <v>625</v>
      </c>
      <c r="P74" s="1" t="s">
        <v>161</v>
      </c>
      <c r="Q74" s="1" t="s">
        <v>626</v>
      </c>
    </row>
    <row r="75" customFormat="false" ht="12.8" hidden="false" customHeight="false" outlineLevel="0" collapsed="false">
      <c r="A75" s="1" t="s">
        <v>17</v>
      </c>
      <c r="B75" s="1" t="s">
        <v>110</v>
      </c>
      <c r="C75" s="1" t="s">
        <v>19</v>
      </c>
      <c r="D75" s="1" t="s">
        <v>627</v>
      </c>
      <c r="E75" s="1" t="s">
        <v>627</v>
      </c>
      <c r="F75" s="1" t="s">
        <v>628</v>
      </c>
      <c r="G75" s="1" t="s">
        <v>22</v>
      </c>
      <c r="H75" s="1" t="s">
        <v>629</v>
      </c>
      <c r="I75" s="3" t="b">
        <f aca="false">FALSE()</f>
        <v>0</v>
      </c>
      <c r="J75" s="1" t="s">
        <v>630</v>
      </c>
      <c r="K75" s="1" t="s">
        <v>115</v>
      </c>
      <c r="L75" s="1" t="s">
        <v>116</v>
      </c>
      <c r="M75" s="1" t="s">
        <v>631</v>
      </c>
      <c r="N75" s="1" t="s">
        <v>118</v>
      </c>
      <c r="O75" s="1" t="s">
        <v>377</v>
      </c>
      <c r="P75" s="1" t="s">
        <v>632</v>
      </c>
      <c r="Q75" s="1" t="s">
        <v>633</v>
      </c>
    </row>
    <row r="76" customFormat="false" ht="12.8" hidden="false" customHeight="false" outlineLevel="0" collapsed="false">
      <c r="A76" s="1" t="s">
        <v>17</v>
      </c>
      <c r="B76" s="1" t="s">
        <v>634</v>
      </c>
      <c r="C76" s="1" t="s">
        <v>19</v>
      </c>
      <c r="D76" s="1" t="s">
        <v>635</v>
      </c>
      <c r="E76" s="1" t="s">
        <v>635</v>
      </c>
      <c r="F76" s="1" t="s">
        <v>636</v>
      </c>
      <c r="G76" s="1" t="s">
        <v>22</v>
      </c>
      <c r="H76" s="1" t="s">
        <v>637</v>
      </c>
      <c r="I76" s="3" t="b">
        <f aca="false">FALSE()</f>
        <v>0</v>
      </c>
      <c r="J76" s="1" t="s">
        <v>638</v>
      </c>
      <c r="K76" s="1" t="s">
        <v>137</v>
      </c>
      <c r="L76" s="1" t="s">
        <v>639</v>
      </c>
      <c r="M76" s="1" t="s">
        <v>640</v>
      </c>
      <c r="N76" s="1" t="s">
        <v>641</v>
      </c>
      <c r="O76" s="1" t="s">
        <v>642</v>
      </c>
      <c r="P76" s="1" t="s">
        <v>252</v>
      </c>
      <c r="Q76" s="1" t="s">
        <v>643</v>
      </c>
    </row>
    <row r="77" customFormat="false" ht="12.8" hidden="false" customHeight="false" outlineLevel="0" collapsed="false">
      <c r="A77" s="1" t="s">
        <v>17</v>
      </c>
      <c r="B77" s="1" t="s">
        <v>634</v>
      </c>
      <c r="C77" s="1" t="s">
        <v>19</v>
      </c>
      <c r="D77" s="1" t="s">
        <v>644</v>
      </c>
      <c r="E77" s="1" t="s">
        <v>644</v>
      </c>
      <c r="F77" s="1" t="s">
        <v>645</v>
      </c>
      <c r="G77" s="1" t="s">
        <v>35</v>
      </c>
      <c r="H77" s="1" t="s">
        <v>646</v>
      </c>
      <c r="I77" s="3" t="b">
        <f aca="false">FALSE()</f>
        <v>0</v>
      </c>
      <c r="J77" s="1" t="s">
        <v>647</v>
      </c>
      <c r="K77" s="1" t="s">
        <v>60</v>
      </c>
      <c r="L77" s="1" t="s">
        <v>648</v>
      </c>
      <c r="M77" s="1" t="s">
        <v>649</v>
      </c>
      <c r="N77" s="1" t="s">
        <v>41</v>
      </c>
      <c r="O77" s="1" t="s">
        <v>242</v>
      </c>
      <c r="P77" s="1" t="s">
        <v>43</v>
      </c>
      <c r="Q77" s="1" t="s">
        <v>650</v>
      </c>
    </row>
    <row r="78" customFormat="false" ht="12.8" hidden="false" customHeight="false" outlineLevel="0" collapsed="false">
      <c r="A78" s="1" t="s">
        <v>17</v>
      </c>
      <c r="B78" s="1" t="s">
        <v>634</v>
      </c>
      <c r="C78" s="1" t="s">
        <v>19</v>
      </c>
      <c r="D78" s="1" t="s">
        <v>651</v>
      </c>
      <c r="E78" s="1" t="s">
        <v>651</v>
      </c>
      <c r="F78" s="1" t="s">
        <v>652</v>
      </c>
      <c r="G78" s="1" t="s">
        <v>22</v>
      </c>
      <c r="H78" s="1" t="s">
        <v>653</v>
      </c>
      <c r="I78" s="3" t="b">
        <f aca="false">FALSE()</f>
        <v>0</v>
      </c>
      <c r="J78" s="1" t="s">
        <v>654</v>
      </c>
      <c r="K78" s="1" t="s">
        <v>25</v>
      </c>
      <c r="L78" s="1" t="s">
        <v>655</v>
      </c>
      <c r="M78" s="1" t="s">
        <v>656</v>
      </c>
      <c r="N78" s="1" t="s">
        <v>29</v>
      </c>
      <c r="O78" s="1" t="s">
        <v>400</v>
      </c>
      <c r="P78" s="1" t="s">
        <v>30</v>
      </c>
      <c r="Q78" s="1" t="s">
        <v>657</v>
      </c>
    </row>
    <row r="79" customFormat="false" ht="12.8" hidden="false" customHeight="false" outlineLevel="0" collapsed="false">
      <c r="A79" s="1" t="s">
        <v>17</v>
      </c>
      <c r="B79" s="1" t="s">
        <v>634</v>
      </c>
      <c r="C79" s="1" t="s">
        <v>19</v>
      </c>
      <c r="D79" s="1" t="s">
        <v>658</v>
      </c>
      <c r="E79" s="1" t="s">
        <v>658</v>
      </c>
      <c r="F79" s="1" t="s">
        <v>659</v>
      </c>
      <c r="G79" s="1" t="s">
        <v>35</v>
      </c>
      <c r="H79" s="1" t="s">
        <v>660</v>
      </c>
      <c r="I79" s="3" t="b">
        <f aca="false">FALSE()</f>
        <v>0</v>
      </c>
      <c r="J79" s="1" t="s">
        <v>661</v>
      </c>
      <c r="K79" s="1" t="s">
        <v>662</v>
      </c>
      <c r="L79" s="1" t="s">
        <v>648</v>
      </c>
      <c r="M79" s="1" t="s">
        <v>663</v>
      </c>
      <c r="N79" s="1" t="s">
        <v>42</v>
      </c>
      <c r="O79" s="1" t="s">
        <v>664</v>
      </c>
      <c r="P79" s="1" t="s">
        <v>43</v>
      </c>
      <c r="Q79" s="1" t="s">
        <v>665</v>
      </c>
    </row>
    <row r="80" customFormat="false" ht="12.8" hidden="false" customHeight="false" outlineLevel="0" collapsed="false">
      <c r="A80" s="1" t="s">
        <v>17</v>
      </c>
      <c r="B80" s="1" t="s">
        <v>634</v>
      </c>
      <c r="C80" s="1" t="s">
        <v>19</v>
      </c>
      <c r="D80" s="1" t="s">
        <v>666</v>
      </c>
      <c r="E80" s="1" t="s">
        <v>666</v>
      </c>
      <c r="F80" s="1" t="s">
        <v>667</v>
      </c>
      <c r="G80" s="1" t="s">
        <v>35</v>
      </c>
      <c r="H80" s="1" t="s">
        <v>668</v>
      </c>
      <c r="I80" s="3" t="b">
        <f aca="false">FALSE()</f>
        <v>0</v>
      </c>
      <c r="J80" s="1" t="s">
        <v>669</v>
      </c>
      <c r="K80" s="1" t="s">
        <v>670</v>
      </c>
      <c r="L80" s="1" t="s">
        <v>671</v>
      </c>
      <c r="M80" s="1" t="s">
        <v>672</v>
      </c>
      <c r="N80" s="1" t="s">
        <v>429</v>
      </c>
      <c r="O80" s="1" t="s">
        <v>673</v>
      </c>
      <c r="P80" s="1" t="s">
        <v>43</v>
      </c>
      <c r="Q80" s="1" t="s">
        <v>674</v>
      </c>
    </row>
    <row r="81" customFormat="false" ht="12.8" hidden="false" customHeight="false" outlineLevel="0" collapsed="false">
      <c r="A81" s="1" t="s">
        <v>17</v>
      </c>
      <c r="B81" s="1" t="s">
        <v>634</v>
      </c>
      <c r="C81" s="1" t="s">
        <v>19</v>
      </c>
      <c r="D81" s="1" t="s">
        <v>675</v>
      </c>
      <c r="E81" s="1" t="s">
        <v>675</v>
      </c>
      <c r="F81" s="1" t="s">
        <v>676</v>
      </c>
      <c r="G81" s="1" t="s">
        <v>22</v>
      </c>
      <c r="H81" s="1" t="s">
        <v>677</v>
      </c>
      <c r="I81" s="3" t="b">
        <f aca="false">FALSE()</f>
        <v>0</v>
      </c>
      <c r="J81" s="1" t="s">
        <v>678</v>
      </c>
      <c r="K81" s="1" t="s">
        <v>147</v>
      </c>
      <c r="L81" s="1" t="s">
        <v>679</v>
      </c>
      <c r="M81" s="1" t="s">
        <v>680</v>
      </c>
      <c r="N81" s="1" t="s">
        <v>681</v>
      </c>
      <c r="O81" s="1" t="s">
        <v>682</v>
      </c>
      <c r="P81" s="1" t="s">
        <v>252</v>
      </c>
      <c r="Q81" s="1" t="s">
        <v>683</v>
      </c>
    </row>
    <row r="82" customFormat="false" ht="12.8" hidden="false" customHeight="false" outlineLevel="0" collapsed="false">
      <c r="A82" s="1" t="s">
        <v>17</v>
      </c>
      <c r="B82" s="1" t="s">
        <v>634</v>
      </c>
      <c r="C82" s="1" t="s">
        <v>19</v>
      </c>
      <c r="D82" s="1" t="s">
        <v>684</v>
      </c>
      <c r="E82" s="1" t="s">
        <v>684</v>
      </c>
      <c r="F82" s="1" t="s">
        <v>685</v>
      </c>
      <c r="G82" s="1" t="s">
        <v>22</v>
      </c>
      <c r="H82" s="1" t="s">
        <v>686</v>
      </c>
      <c r="I82" s="3" t="b">
        <f aca="false">FALSE()</f>
        <v>0</v>
      </c>
      <c r="J82" s="1" t="s">
        <v>687</v>
      </c>
      <c r="K82" s="1" t="s">
        <v>25</v>
      </c>
      <c r="L82" s="1" t="s">
        <v>655</v>
      </c>
      <c r="M82" s="1" t="s">
        <v>688</v>
      </c>
      <c r="N82" s="1" t="s">
        <v>689</v>
      </c>
      <c r="O82" s="1" t="s">
        <v>181</v>
      </c>
      <c r="P82" s="1" t="s">
        <v>30</v>
      </c>
      <c r="Q82" s="1" t="s">
        <v>690</v>
      </c>
    </row>
    <row r="83" customFormat="false" ht="12.8" hidden="false" customHeight="false" outlineLevel="0" collapsed="false">
      <c r="A83" s="1" t="s">
        <v>17</v>
      </c>
      <c r="B83" s="1" t="s">
        <v>634</v>
      </c>
      <c r="C83" s="1" t="s">
        <v>19</v>
      </c>
      <c r="D83" s="1" t="s">
        <v>691</v>
      </c>
      <c r="E83" s="1" t="s">
        <v>691</v>
      </c>
      <c r="F83" s="1" t="s">
        <v>692</v>
      </c>
      <c r="G83" s="1" t="s">
        <v>22</v>
      </c>
      <c r="H83" s="1" t="s">
        <v>693</v>
      </c>
      <c r="I83" s="3" t="b">
        <f aca="false">FALSE()</f>
        <v>0</v>
      </c>
      <c r="J83" s="1" t="s">
        <v>694</v>
      </c>
      <c r="K83" s="1" t="s">
        <v>197</v>
      </c>
      <c r="L83" s="1" t="s">
        <v>695</v>
      </c>
      <c r="M83" s="1" t="s">
        <v>696</v>
      </c>
      <c r="N83" s="1" t="s">
        <v>697</v>
      </c>
      <c r="O83" s="1" t="s">
        <v>384</v>
      </c>
      <c r="P83" s="1" t="s">
        <v>698</v>
      </c>
      <c r="Q83" s="1" t="s">
        <v>699</v>
      </c>
    </row>
    <row r="84" customFormat="false" ht="12.8" hidden="false" customHeight="false" outlineLevel="0" collapsed="false">
      <c r="A84" s="1" t="s">
        <v>17</v>
      </c>
      <c r="B84" s="1" t="s">
        <v>634</v>
      </c>
      <c r="C84" s="1" t="s">
        <v>19</v>
      </c>
      <c r="D84" s="1" t="s">
        <v>700</v>
      </c>
      <c r="E84" s="1" t="s">
        <v>700</v>
      </c>
      <c r="F84" s="1" t="s">
        <v>701</v>
      </c>
      <c r="G84" s="1" t="s">
        <v>22</v>
      </c>
      <c r="H84" s="1" t="s">
        <v>702</v>
      </c>
      <c r="I84" s="3" t="b">
        <f aca="false">FALSE()</f>
        <v>0</v>
      </c>
      <c r="J84" s="1" t="s">
        <v>703</v>
      </c>
      <c r="K84" s="1" t="s">
        <v>147</v>
      </c>
      <c r="L84" s="1" t="s">
        <v>704</v>
      </c>
      <c r="M84" s="1" t="s">
        <v>705</v>
      </c>
      <c r="N84" s="1" t="s">
        <v>706</v>
      </c>
      <c r="O84" s="1" t="s">
        <v>707</v>
      </c>
      <c r="P84" s="1" t="s">
        <v>30</v>
      </c>
      <c r="Q84" s="1" t="s">
        <v>708</v>
      </c>
    </row>
    <row r="85" customFormat="false" ht="12.8" hidden="false" customHeight="false" outlineLevel="0" collapsed="false">
      <c r="A85" s="1" t="s">
        <v>17</v>
      </c>
      <c r="B85" s="1" t="s">
        <v>634</v>
      </c>
      <c r="C85" s="1" t="s">
        <v>19</v>
      </c>
      <c r="D85" s="1" t="s">
        <v>709</v>
      </c>
      <c r="E85" s="1" t="s">
        <v>709</v>
      </c>
      <c r="F85" s="1" t="s">
        <v>710</v>
      </c>
      <c r="G85" s="1" t="s">
        <v>22</v>
      </c>
      <c r="H85" s="1" t="s">
        <v>711</v>
      </c>
      <c r="I85" s="3" t="b">
        <f aca="false">FALSE()</f>
        <v>0</v>
      </c>
      <c r="J85" s="1" t="s">
        <v>712</v>
      </c>
      <c r="K85" s="1" t="s">
        <v>137</v>
      </c>
      <c r="L85" s="1" t="s">
        <v>713</v>
      </c>
      <c r="M85" s="1" t="s">
        <v>714</v>
      </c>
      <c r="N85" s="1" t="s">
        <v>715</v>
      </c>
      <c r="O85" s="1" t="s">
        <v>716</v>
      </c>
      <c r="P85" s="1" t="s">
        <v>30</v>
      </c>
      <c r="Q85" s="1" t="s">
        <v>717</v>
      </c>
    </row>
    <row r="86" customFormat="false" ht="12.8" hidden="false" customHeight="false" outlineLevel="0" collapsed="false">
      <c r="A86" s="1" t="s">
        <v>17</v>
      </c>
      <c r="B86" s="1" t="s">
        <v>634</v>
      </c>
      <c r="C86" s="1" t="s">
        <v>19</v>
      </c>
      <c r="D86" s="1" t="s">
        <v>718</v>
      </c>
      <c r="E86" s="1" t="s">
        <v>718</v>
      </c>
      <c r="F86" s="1" t="s">
        <v>719</v>
      </c>
      <c r="G86" s="1" t="s">
        <v>22</v>
      </c>
      <c r="H86" s="1" t="s">
        <v>720</v>
      </c>
      <c r="I86" s="3" t="b">
        <f aca="false">FALSE()</f>
        <v>0</v>
      </c>
      <c r="J86" s="1" t="s">
        <v>721</v>
      </c>
      <c r="K86" s="1" t="s">
        <v>49</v>
      </c>
      <c r="L86" s="1" t="s">
        <v>722</v>
      </c>
      <c r="M86" s="1" t="s">
        <v>723</v>
      </c>
      <c r="N86" s="1" t="s">
        <v>208</v>
      </c>
      <c r="O86" s="1" t="s">
        <v>180</v>
      </c>
      <c r="P86" s="1" t="s">
        <v>724</v>
      </c>
      <c r="Q86" s="1" t="s">
        <v>725</v>
      </c>
    </row>
    <row r="87" customFormat="false" ht="12.8" hidden="false" customHeight="false" outlineLevel="0" collapsed="false">
      <c r="A87" s="1" t="s">
        <v>17</v>
      </c>
      <c r="B87" s="1" t="s">
        <v>634</v>
      </c>
      <c r="C87" s="1" t="s">
        <v>19</v>
      </c>
      <c r="D87" s="1" t="s">
        <v>726</v>
      </c>
      <c r="E87" s="1" t="s">
        <v>726</v>
      </c>
      <c r="F87" s="1" t="s">
        <v>727</v>
      </c>
      <c r="G87" s="1" t="s">
        <v>22</v>
      </c>
      <c r="H87" s="1" t="s">
        <v>728</v>
      </c>
      <c r="I87" s="3" t="b">
        <f aca="false">FALSE()</f>
        <v>0</v>
      </c>
      <c r="J87" s="1" t="s">
        <v>729</v>
      </c>
      <c r="K87" s="1" t="s">
        <v>49</v>
      </c>
      <c r="L87" s="1" t="s">
        <v>722</v>
      </c>
      <c r="M87" s="1" t="s">
        <v>730</v>
      </c>
      <c r="N87" s="1" t="s">
        <v>179</v>
      </c>
      <c r="O87" s="1" t="s">
        <v>108</v>
      </c>
      <c r="P87" s="1" t="s">
        <v>724</v>
      </c>
      <c r="Q87" s="1" t="s">
        <v>731</v>
      </c>
    </row>
    <row r="88" customFormat="false" ht="12.8" hidden="false" customHeight="false" outlineLevel="0" collapsed="false">
      <c r="A88" s="1" t="s">
        <v>17</v>
      </c>
      <c r="B88" s="1" t="s">
        <v>634</v>
      </c>
      <c r="C88" s="1" t="s">
        <v>19</v>
      </c>
      <c r="D88" s="1" t="s">
        <v>732</v>
      </c>
      <c r="E88" s="1" t="s">
        <v>732</v>
      </c>
      <c r="F88" s="1" t="s">
        <v>733</v>
      </c>
      <c r="G88" s="1" t="s">
        <v>22</v>
      </c>
      <c r="H88" s="1" t="s">
        <v>734</v>
      </c>
      <c r="I88" s="3" t="b">
        <f aca="false">FALSE()</f>
        <v>0</v>
      </c>
      <c r="J88" s="1" t="s">
        <v>735</v>
      </c>
      <c r="K88" s="1" t="s">
        <v>137</v>
      </c>
      <c r="L88" s="1" t="s">
        <v>639</v>
      </c>
      <c r="M88" s="1" t="s">
        <v>736</v>
      </c>
      <c r="N88" s="1" t="s">
        <v>737</v>
      </c>
      <c r="O88" s="1" t="s">
        <v>738</v>
      </c>
      <c r="P88" s="1" t="s">
        <v>30</v>
      </c>
      <c r="Q88" s="1" t="s">
        <v>739</v>
      </c>
    </row>
    <row r="89" customFormat="false" ht="12.8" hidden="false" customHeight="false" outlineLevel="0" collapsed="false">
      <c r="A89" s="1" t="s">
        <v>17</v>
      </c>
      <c r="B89" s="1" t="s">
        <v>634</v>
      </c>
      <c r="C89" s="1" t="s">
        <v>19</v>
      </c>
      <c r="D89" s="1" t="s">
        <v>740</v>
      </c>
      <c r="E89" s="1" t="s">
        <v>740</v>
      </c>
      <c r="F89" s="1" t="s">
        <v>741</v>
      </c>
      <c r="G89" s="1" t="s">
        <v>35</v>
      </c>
      <c r="H89" s="1" t="s">
        <v>742</v>
      </c>
      <c r="I89" s="3" t="b">
        <f aca="false">FALSE()</f>
        <v>0</v>
      </c>
      <c r="J89" s="1" t="s">
        <v>743</v>
      </c>
      <c r="K89" s="1" t="s">
        <v>77</v>
      </c>
      <c r="L89" s="1" t="s">
        <v>744</v>
      </c>
      <c r="M89" s="1" t="s">
        <v>745</v>
      </c>
      <c r="N89" s="1" t="s">
        <v>746</v>
      </c>
      <c r="O89" s="1" t="s">
        <v>747</v>
      </c>
      <c r="P89" s="1" t="s">
        <v>43</v>
      </c>
      <c r="Q89" s="1" t="s">
        <v>748</v>
      </c>
    </row>
    <row r="90" customFormat="false" ht="12.8" hidden="false" customHeight="false" outlineLevel="0" collapsed="false">
      <c r="A90" s="1" t="s">
        <v>17</v>
      </c>
      <c r="B90" s="1" t="s">
        <v>634</v>
      </c>
      <c r="C90" s="1" t="s">
        <v>19</v>
      </c>
      <c r="D90" s="1" t="s">
        <v>749</v>
      </c>
      <c r="E90" s="1" t="s">
        <v>749</v>
      </c>
      <c r="F90" s="1" t="s">
        <v>750</v>
      </c>
      <c r="G90" s="1" t="s">
        <v>22</v>
      </c>
      <c r="H90" s="1" t="s">
        <v>751</v>
      </c>
      <c r="I90" s="3" t="b">
        <f aca="false">FALSE()</f>
        <v>0</v>
      </c>
      <c r="J90" s="1" t="s">
        <v>752</v>
      </c>
      <c r="K90" s="1" t="s">
        <v>25</v>
      </c>
      <c r="L90" s="1" t="s">
        <v>655</v>
      </c>
      <c r="M90" s="1" t="s">
        <v>753</v>
      </c>
      <c r="N90" s="1" t="s">
        <v>754</v>
      </c>
      <c r="O90" s="1" t="s">
        <v>609</v>
      </c>
      <c r="P90" s="1" t="s">
        <v>30</v>
      </c>
      <c r="Q90" s="1" t="s">
        <v>755</v>
      </c>
    </row>
    <row r="91" customFormat="false" ht="12.8" hidden="false" customHeight="false" outlineLevel="0" collapsed="false">
      <c r="A91" s="1" t="s">
        <v>17</v>
      </c>
      <c r="B91" s="1" t="s">
        <v>634</v>
      </c>
      <c r="C91" s="1" t="s">
        <v>19</v>
      </c>
      <c r="D91" s="1" t="s">
        <v>756</v>
      </c>
      <c r="E91" s="1" t="s">
        <v>756</v>
      </c>
      <c r="F91" s="1" t="s">
        <v>757</v>
      </c>
      <c r="G91" s="1" t="s">
        <v>22</v>
      </c>
      <c r="H91" s="1" t="s">
        <v>758</v>
      </c>
      <c r="I91" s="3" t="b">
        <f aca="false">FALSE()</f>
        <v>0</v>
      </c>
      <c r="J91" s="1" t="s">
        <v>759</v>
      </c>
      <c r="K91" s="1" t="s">
        <v>25</v>
      </c>
      <c r="L91" s="1" t="s">
        <v>639</v>
      </c>
      <c r="M91" s="1" t="s">
        <v>760</v>
      </c>
      <c r="N91" s="1" t="s">
        <v>746</v>
      </c>
      <c r="O91" s="1" t="s">
        <v>761</v>
      </c>
      <c r="P91" s="1" t="s">
        <v>762</v>
      </c>
      <c r="Q91" s="1" t="s">
        <v>763</v>
      </c>
    </row>
    <row r="92" customFormat="false" ht="12.8" hidden="false" customHeight="false" outlineLevel="0" collapsed="false">
      <c r="A92" s="1" t="s">
        <v>17</v>
      </c>
      <c r="B92" s="1" t="s">
        <v>634</v>
      </c>
      <c r="C92" s="1" t="s">
        <v>19</v>
      </c>
      <c r="D92" s="1" t="s">
        <v>764</v>
      </c>
      <c r="E92" s="1" t="s">
        <v>764</v>
      </c>
      <c r="F92" s="1" t="s">
        <v>765</v>
      </c>
      <c r="G92" s="1" t="s">
        <v>22</v>
      </c>
      <c r="H92" s="1" t="s">
        <v>766</v>
      </c>
      <c r="I92" s="3" t="b">
        <f aca="false">FALSE()</f>
        <v>0</v>
      </c>
      <c r="J92" s="1" t="s">
        <v>767</v>
      </c>
      <c r="K92" s="1" t="s">
        <v>25</v>
      </c>
      <c r="L92" s="1" t="s">
        <v>768</v>
      </c>
      <c r="M92" s="1" t="s">
        <v>769</v>
      </c>
      <c r="N92" s="1" t="s">
        <v>770</v>
      </c>
      <c r="O92" s="1" t="s">
        <v>771</v>
      </c>
      <c r="P92" s="1" t="s">
        <v>772</v>
      </c>
      <c r="Q92" s="1" t="s">
        <v>773</v>
      </c>
    </row>
    <row r="93" customFormat="false" ht="12.8" hidden="false" customHeight="false" outlineLevel="0" collapsed="false">
      <c r="A93" s="1" t="s">
        <v>17</v>
      </c>
      <c r="B93" s="1" t="s">
        <v>634</v>
      </c>
      <c r="C93" s="1" t="s">
        <v>19</v>
      </c>
      <c r="D93" s="1" t="s">
        <v>774</v>
      </c>
      <c r="E93" s="1" t="s">
        <v>774</v>
      </c>
      <c r="F93" s="1" t="s">
        <v>775</v>
      </c>
      <c r="G93" s="1" t="s">
        <v>22</v>
      </c>
      <c r="H93" s="1" t="s">
        <v>776</v>
      </c>
      <c r="I93" s="3" t="b">
        <f aca="false">FALSE()</f>
        <v>0</v>
      </c>
      <c r="J93" s="1" t="s">
        <v>777</v>
      </c>
      <c r="K93" s="1" t="s">
        <v>25</v>
      </c>
      <c r="L93" s="1" t="s">
        <v>778</v>
      </c>
      <c r="M93" s="1" t="s">
        <v>779</v>
      </c>
      <c r="N93" s="1" t="s">
        <v>570</v>
      </c>
      <c r="O93" s="1" t="s">
        <v>780</v>
      </c>
      <c r="P93" s="1" t="s">
        <v>781</v>
      </c>
      <c r="Q93" s="1" t="s">
        <v>782</v>
      </c>
    </row>
    <row r="94" customFormat="false" ht="12.8" hidden="false" customHeight="false" outlineLevel="0" collapsed="false">
      <c r="A94" s="1" t="s">
        <v>17</v>
      </c>
      <c r="B94" s="1" t="s">
        <v>634</v>
      </c>
      <c r="C94" s="1" t="s">
        <v>19</v>
      </c>
      <c r="D94" s="1" t="s">
        <v>783</v>
      </c>
      <c r="E94" s="1" t="s">
        <v>783</v>
      </c>
      <c r="F94" s="1" t="s">
        <v>784</v>
      </c>
      <c r="G94" s="1" t="s">
        <v>22</v>
      </c>
      <c r="H94" s="1" t="s">
        <v>785</v>
      </c>
      <c r="I94" s="3" t="b">
        <f aca="false">FALSE()</f>
        <v>0</v>
      </c>
      <c r="J94" s="1" t="s">
        <v>786</v>
      </c>
      <c r="K94" s="1" t="s">
        <v>49</v>
      </c>
      <c r="L94" s="1" t="s">
        <v>787</v>
      </c>
      <c r="M94" s="1" t="s">
        <v>788</v>
      </c>
      <c r="N94" s="1" t="s">
        <v>463</v>
      </c>
      <c r="O94" s="1" t="s">
        <v>624</v>
      </c>
      <c r="P94" s="1" t="s">
        <v>789</v>
      </c>
      <c r="Q94" s="1" t="s">
        <v>790</v>
      </c>
    </row>
    <row r="95" customFormat="false" ht="12.8" hidden="false" customHeight="false" outlineLevel="0" collapsed="false">
      <c r="A95" s="1" t="s">
        <v>17</v>
      </c>
      <c r="B95" s="1" t="s">
        <v>634</v>
      </c>
      <c r="C95" s="1" t="s">
        <v>19</v>
      </c>
      <c r="D95" s="1" t="s">
        <v>791</v>
      </c>
      <c r="E95" s="1" t="s">
        <v>791</v>
      </c>
      <c r="F95" s="1" t="s">
        <v>792</v>
      </c>
      <c r="G95" s="1" t="s">
        <v>22</v>
      </c>
      <c r="H95" s="1" t="s">
        <v>793</v>
      </c>
      <c r="I95" s="3" t="b">
        <f aca="false">FALSE()</f>
        <v>0</v>
      </c>
      <c r="J95" s="1" t="s">
        <v>794</v>
      </c>
      <c r="K95" s="1" t="s">
        <v>365</v>
      </c>
      <c r="L95" s="1" t="s">
        <v>722</v>
      </c>
      <c r="M95" s="1" t="s">
        <v>795</v>
      </c>
      <c r="N95" s="1" t="s">
        <v>179</v>
      </c>
      <c r="O95" s="1" t="s">
        <v>180</v>
      </c>
      <c r="P95" s="1" t="s">
        <v>724</v>
      </c>
      <c r="Q95" s="1" t="s">
        <v>796</v>
      </c>
    </row>
    <row r="96" customFormat="false" ht="12.8" hidden="false" customHeight="false" outlineLevel="0" collapsed="false">
      <c r="A96" s="1" t="s">
        <v>17</v>
      </c>
      <c r="B96" s="1" t="s">
        <v>634</v>
      </c>
      <c r="C96" s="1" t="s">
        <v>19</v>
      </c>
      <c r="D96" s="1" t="s">
        <v>797</v>
      </c>
      <c r="E96" s="1" t="s">
        <v>797</v>
      </c>
      <c r="F96" s="1" t="s">
        <v>798</v>
      </c>
      <c r="G96" s="1" t="s">
        <v>35</v>
      </c>
      <c r="H96" s="1" t="s">
        <v>799</v>
      </c>
      <c r="I96" s="3" t="b">
        <f aca="false">FALSE()</f>
        <v>0</v>
      </c>
      <c r="J96" s="1" t="s">
        <v>800</v>
      </c>
      <c r="K96" s="1" t="s">
        <v>77</v>
      </c>
      <c r="L96" s="1" t="s">
        <v>744</v>
      </c>
      <c r="M96" s="1" t="s">
        <v>801</v>
      </c>
      <c r="N96" s="1" t="s">
        <v>802</v>
      </c>
      <c r="O96" s="1" t="s">
        <v>746</v>
      </c>
      <c r="P96" s="1" t="s">
        <v>43</v>
      </c>
      <c r="Q96" s="1" t="s">
        <v>803</v>
      </c>
    </row>
    <row r="97" customFormat="false" ht="12.8" hidden="false" customHeight="false" outlineLevel="0" collapsed="false">
      <c r="A97" s="1" t="s">
        <v>17</v>
      </c>
      <c r="B97" s="1" t="s">
        <v>634</v>
      </c>
      <c r="C97" s="1" t="s">
        <v>19</v>
      </c>
      <c r="D97" s="1" t="s">
        <v>804</v>
      </c>
      <c r="E97" s="1" t="s">
        <v>804</v>
      </c>
      <c r="F97" s="1" t="s">
        <v>805</v>
      </c>
      <c r="G97" s="1" t="s">
        <v>22</v>
      </c>
      <c r="H97" s="1" t="s">
        <v>806</v>
      </c>
      <c r="I97" s="3" t="b">
        <f aca="false">FALSE()</f>
        <v>0</v>
      </c>
      <c r="J97" s="1" t="s">
        <v>807</v>
      </c>
      <c r="K97" s="1" t="s">
        <v>197</v>
      </c>
      <c r="L97" s="1" t="s">
        <v>50</v>
      </c>
      <c r="M97" s="1" t="s">
        <v>808</v>
      </c>
      <c r="N97" s="1" t="s">
        <v>809</v>
      </c>
      <c r="O97" s="1" t="s">
        <v>28</v>
      </c>
      <c r="P97" s="1" t="s">
        <v>810</v>
      </c>
      <c r="Q97" s="1" t="s">
        <v>811</v>
      </c>
    </row>
    <row r="98" customFormat="false" ht="12.8" hidden="false" customHeight="false" outlineLevel="0" collapsed="false">
      <c r="A98" s="1" t="s">
        <v>17</v>
      </c>
      <c r="B98" s="1" t="s">
        <v>634</v>
      </c>
      <c r="C98" s="1" t="s">
        <v>19</v>
      </c>
      <c r="D98" s="1" t="s">
        <v>812</v>
      </c>
      <c r="E98" s="1" t="s">
        <v>812</v>
      </c>
      <c r="F98" s="1" t="s">
        <v>813</v>
      </c>
      <c r="G98" s="1" t="s">
        <v>35</v>
      </c>
      <c r="H98" s="1" t="s">
        <v>814</v>
      </c>
      <c r="I98" s="3" t="b">
        <f aca="false">FALSE()</f>
        <v>0</v>
      </c>
      <c r="J98" s="1" t="s">
        <v>815</v>
      </c>
      <c r="K98" s="1" t="s">
        <v>60</v>
      </c>
      <c r="L98" s="1" t="s">
        <v>648</v>
      </c>
      <c r="M98" s="1" t="s">
        <v>816</v>
      </c>
      <c r="N98" s="1" t="s">
        <v>351</v>
      </c>
      <c r="O98" s="1" t="s">
        <v>817</v>
      </c>
      <c r="P98" s="1" t="s">
        <v>43</v>
      </c>
      <c r="Q98" s="1" t="s">
        <v>818</v>
      </c>
    </row>
    <row r="99" customFormat="false" ht="12.8" hidden="false" customHeight="false" outlineLevel="0" collapsed="false">
      <c r="A99" s="1" t="s">
        <v>17</v>
      </c>
      <c r="B99" s="1" t="s">
        <v>634</v>
      </c>
      <c r="C99" s="1" t="s">
        <v>19</v>
      </c>
      <c r="D99" s="1" t="s">
        <v>819</v>
      </c>
      <c r="E99" s="1" t="s">
        <v>819</v>
      </c>
      <c r="F99" s="1" t="s">
        <v>820</v>
      </c>
      <c r="G99" s="1" t="s">
        <v>22</v>
      </c>
      <c r="H99" s="1" t="s">
        <v>821</v>
      </c>
      <c r="I99" s="3" t="b">
        <f aca="false">FALSE()</f>
        <v>0</v>
      </c>
      <c r="J99" s="1" t="s">
        <v>822</v>
      </c>
      <c r="K99" s="1" t="s">
        <v>25</v>
      </c>
      <c r="L99" s="1" t="s">
        <v>655</v>
      </c>
      <c r="M99" s="1" t="s">
        <v>823</v>
      </c>
      <c r="N99" s="1" t="s">
        <v>682</v>
      </c>
      <c r="O99" s="1" t="s">
        <v>824</v>
      </c>
      <c r="P99" s="1" t="s">
        <v>30</v>
      </c>
      <c r="Q99" s="1" t="s">
        <v>825</v>
      </c>
    </row>
    <row r="100" customFormat="false" ht="12.8" hidden="false" customHeight="false" outlineLevel="0" collapsed="false">
      <c r="A100" s="1" t="s">
        <v>17</v>
      </c>
      <c r="B100" s="1" t="s">
        <v>634</v>
      </c>
      <c r="C100" s="1" t="s">
        <v>19</v>
      </c>
      <c r="D100" s="1" t="s">
        <v>826</v>
      </c>
      <c r="E100" s="1" t="s">
        <v>826</v>
      </c>
      <c r="F100" s="1" t="s">
        <v>827</v>
      </c>
      <c r="G100" s="1" t="s">
        <v>22</v>
      </c>
      <c r="H100" s="1" t="s">
        <v>828</v>
      </c>
      <c r="I100" s="3" t="b">
        <f aca="false">FALSE()</f>
        <v>0</v>
      </c>
      <c r="J100" s="1" t="s">
        <v>829</v>
      </c>
      <c r="K100" s="1" t="s">
        <v>147</v>
      </c>
      <c r="L100" s="1" t="s">
        <v>722</v>
      </c>
      <c r="M100" s="1" t="s">
        <v>830</v>
      </c>
      <c r="N100" s="1" t="s">
        <v>831</v>
      </c>
      <c r="O100" s="1" t="s">
        <v>832</v>
      </c>
      <c r="P100" s="1" t="s">
        <v>261</v>
      </c>
      <c r="Q100" s="1" t="s">
        <v>833</v>
      </c>
    </row>
    <row r="101" customFormat="false" ht="12.8" hidden="false" customHeight="false" outlineLevel="0" collapsed="false">
      <c r="A101" s="1" t="s">
        <v>17</v>
      </c>
      <c r="B101" s="1" t="s">
        <v>634</v>
      </c>
      <c r="C101" s="1" t="s">
        <v>19</v>
      </c>
      <c r="D101" s="1" t="s">
        <v>834</v>
      </c>
      <c r="E101" s="1" t="s">
        <v>834</v>
      </c>
      <c r="F101" s="1" t="s">
        <v>835</v>
      </c>
      <c r="G101" s="1" t="s">
        <v>22</v>
      </c>
      <c r="H101" s="1" t="s">
        <v>836</v>
      </c>
      <c r="I101" s="3" t="b">
        <f aca="false">FALSE()</f>
        <v>0</v>
      </c>
      <c r="J101" s="1" t="s">
        <v>837</v>
      </c>
      <c r="K101" s="1" t="s">
        <v>137</v>
      </c>
      <c r="L101" s="1" t="s">
        <v>778</v>
      </c>
      <c r="M101" s="1" t="s">
        <v>838</v>
      </c>
      <c r="N101" s="1" t="s">
        <v>839</v>
      </c>
      <c r="O101" s="1" t="s">
        <v>270</v>
      </c>
      <c r="P101" s="1" t="s">
        <v>161</v>
      </c>
      <c r="Q101" s="1" t="s">
        <v>840</v>
      </c>
    </row>
    <row r="102" customFormat="false" ht="12.8" hidden="false" customHeight="false" outlineLevel="0" collapsed="false">
      <c r="A102" s="1" t="s">
        <v>17</v>
      </c>
      <c r="B102" s="1" t="s">
        <v>841</v>
      </c>
      <c r="C102" s="1" t="s">
        <v>19</v>
      </c>
      <c r="D102" s="1" t="s">
        <v>842</v>
      </c>
      <c r="E102" s="1" t="s">
        <v>842</v>
      </c>
      <c r="F102" s="1" t="s">
        <v>843</v>
      </c>
      <c r="G102" s="1" t="s">
        <v>22</v>
      </c>
      <c r="H102" s="1" t="s">
        <v>844</v>
      </c>
      <c r="I102" s="3" t="b">
        <f aca="false">FALSE()</f>
        <v>0</v>
      </c>
      <c r="J102" s="1" t="s">
        <v>845</v>
      </c>
      <c r="K102" s="1" t="s">
        <v>147</v>
      </c>
      <c r="L102" s="1" t="s">
        <v>846</v>
      </c>
      <c r="M102" s="1" t="s">
        <v>847</v>
      </c>
      <c r="N102" s="1" t="s">
        <v>541</v>
      </c>
      <c r="O102" s="1" t="s">
        <v>342</v>
      </c>
      <c r="P102" s="1" t="s">
        <v>131</v>
      </c>
      <c r="Q102" s="1" t="s">
        <v>848</v>
      </c>
    </row>
    <row r="103" customFormat="false" ht="12.8" hidden="false" customHeight="false" outlineLevel="0" collapsed="false">
      <c r="A103" s="1" t="s">
        <v>17</v>
      </c>
      <c r="B103" s="1" t="s">
        <v>841</v>
      </c>
      <c r="C103" s="1" t="s">
        <v>19</v>
      </c>
      <c r="D103" s="1" t="s">
        <v>849</v>
      </c>
      <c r="E103" s="1" t="s">
        <v>849</v>
      </c>
      <c r="F103" s="1" t="s">
        <v>850</v>
      </c>
      <c r="G103" s="1" t="s">
        <v>22</v>
      </c>
      <c r="H103" s="1" t="s">
        <v>851</v>
      </c>
      <c r="I103" s="3" t="b">
        <f aca="false">FALSE()</f>
        <v>0</v>
      </c>
      <c r="J103" s="1" t="s">
        <v>852</v>
      </c>
      <c r="K103" s="1" t="s">
        <v>147</v>
      </c>
      <c r="L103" s="1" t="s">
        <v>853</v>
      </c>
      <c r="M103" s="1" t="s">
        <v>854</v>
      </c>
      <c r="N103" s="1" t="s">
        <v>855</v>
      </c>
      <c r="O103" s="1" t="s">
        <v>571</v>
      </c>
      <c r="P103" s="1" t="s">
        <v>30</v>
      </c>
      <c r="Q103" s="1" t="s">
        <v>856</v>
      </c>
    </row>
    <row r="104" customFormat="false" ht="12.8" hidden="false" customHeight="false" outlineLevel="0" collapsed="false">
      <c r="A104" s="1" t="s">
        <v>17</v>
      </c>
      <c r="B104" s="1" t="s">
        <v>841</v>
      </c>
      <c r="C104" s="1" t="s">
        <v>19</v>
      </c>
      <c r="D104" s="1" t="s">
        <v>857</v>
      </c>
      <c r="E104" s="1" t="s">
        <v>857</v>
      </c>
      <c r="F104" s="1" t="s">
        <v>858</v>
      </c>
      <c r="G104" s="1" t="s">
        <v>22</v>
      </c>
      <c r="H104" s="1" t="s">
        <v>859</v>
      </c>
      <c r="I104" s="3" t="b">
        <f aca="false">FALSE()</f>
        <v>0</v>
      </c>
      <c r="J104" s="1" t="s">
        <v>860</v>
      </c>
      <c r="K104" s="1" t="s">
        <v>239</v>
      </c>
      <c r="L104" s="1" t="s">
        <v>861</v>
      </c>
      <c r="M104" s="1" t="s">
        <v>862</v>
      </c>
      <c r="N104" s="1" t="s">
        <v>342</v>
      </c>
      <c r="O104" s="1" t="s">
        <v>63</v>
      </c>
      <c r="P104" s="1" t="s">
        <v>30</v>
      </c>
      <c r="Q104" s="1" t="s">
        <v>863</v>
      </c>
    </row>
    <row r="105" customFormat="false" ht="12.8" hidden="false" customHeight="false" outlineLevel="0" collapsed="false">
      <c r="A105" s="1" t="s">
        <v>17</v>
      </c>
      <c r="B105" s="1" t="s">
        <v>841</v>
      </c>
      <c r="C105" s="1" t="s">
        <v>19</v>
      </c>
      <c r="D105" s="1" t="s">
        <v>864</v>
      </c>
      <c r="E105" s="1" t="s">
        <v>864</v>
      </c>
      <c r="F105" s="1" t="s">
        <v>865</v>
      </c>
      <c r="G105" s="1" t="s">
        <v>22</v>
      </c>
      <c r="H105" s="1" t="s">
        <v>866</v>
      </c>
      <c r="I105" s="3" t="b">
        <f aca="false">FALSE()</f>
        <v>0</v>
      </c>
      <c r="J105" s="1" t="s">
        <v>867</v>
      </c>
      <c r="K105" s="1" t="s">
        <v>126</v>
      </c>
      <c r="L105" s="1" t="s">
        <v>639</v>
      </c>
      <c r="M105" s="1" t="s">
        <v>868</v>
      </c>
      <c r="N105" s="1" t="s">
        <v>869</v>
      </c>
      <c r="O105" s="1" t="s">
        <v>870</v>
      </c>
      <c r="P105" s="1" t="s">
        <v>871</v>
      </c>
      <c r="Q105" s="1" t="s">
        <v>872</v>
      </c>
    </row>
    <row r="106" customFormat="false" ht="12.8" hidden="false" customHeight="false" outlineLevel="0" collapsed="false">
      <c r="A106" s="1" t="s">
        <v>17</v>
      </c>
      <c r="B106" s="1" t="s">
        <v>841</v>
      </c>
      <c r="C106" s="1" t="s">
        <v>19</v>
      </c>
      <c r="D106" s="1" t="s">
        <v>873</v>
      </c>
      <c r="E106" s="1" t="s">
        <v>873</v>
      </c>
      <c r="F106" s="1" t="s">
        <v>874</v>
      </c>
      <c r="G106" s="1" t="s">
        <v>22</v>
      </c>
      <c r="H106" s="1" t="s">
        <v>875</v>
      </c>
      <c r="I106" s="3" t="b">
        <f aca="false">FALSE()</f>
        <v>0</v>
      </c>
      <c r="J106" s="1" t="s">
        <v>876</v>
      </c>
      <c r="K106" s="1" t="s">
        <v>877</v>
      </c>
      <c r="L106" s="1" t="s">
        <v>50</v>
      </c>
      <c r="M106" s="1" t="s">
        <v>878</v>
      </c>
      <c r="N106" s="1" t="s">
        <v>724</v>
      </c>
      <c r="O106" s="1" t="s">
        <v>879</v>
      </c>
      <c r="P106" s="1" t="s">
        <v>689</v>
      </c>
      <c r="Q106" s="1" t="s">
        <v>880</v>
      </c>
    </row>
    <row r="107" customFormat="false" ht="12.8" hidden="false" customHeight="false" outlineLevel="0" collapsed="false">
      <c r="A107" s="1" t="s">
        <v>17</v>
      </c>
      <c r="B107" s="1" t="s">
        <v>841</v>
      </c>
      <c r="C107" s="1" t="s">
        <v>19</v>
      </c>
      <c r="D107" s="1" t="s">
        <v>881</v>
      </c>
      <c r="E107" s="1" t="s">
        <v>881</v>
      </c>
      <c r="F107" s="1" t="s">
        <v>882</v>
      </c>
      <c r="G107" s="1" t="s">
        <v>22</v>
      </c>
      <c r="H107" s="1" t="s">
        <v>883</v>
      </c>
      <c r="I107" s="3" t="b">
        <f aca="false">FALSE()</f>
        <v>0</v>
      </c>
      <c r="J107" s="1" t="s">
        <v>884</v>
      </c>
      <c r="K107" s="1" t="s">
        <v>176</v>
      </c>
      <c r="L107" s="1" t="s">
        <v>885</v>
      </c>
      <c r="M107" s="1" t="s">
        <v>886</v>
      </c>
      <c r="N107" s="1" t="s">
        <v>63</v>
      </c>
      <c r="O107" s="1" t="s">
        <v>242</v>
      </c>
      <c r="P107" s="1" t="s">
        <v>601</v>
      </c>
      <c r="Q107" s="1" t="s">
        <v>887</v>
      </c>
    </row>
    <row r="108" customFormat="false" ht="12.8" hidden="false" customHeight="false" outlineLevel="0" collapsed="false">
      <c r="A108" s="1" t="s">
        <v>17</v>
      </c>
      <c r="B108" s="1" t="s">
        <v>841</v>
      </c>
      <c r="C108" s="1" t="s">
        <v>19</v>
      </c>
      <c r="D108" s="1" t="s">
        <v>888</v>
      </c>
      <c r="E108" s="1" t="s">
        <v>888</v>
      </c>
      <c r="F108" s="1" t="s">
        <v>889</v>
      </c>
      <c r="G108" s="1" t="s">
        <v>22</v>
      </c>
      <c r="H108" s="1" t="s">
        <v>890</v>
      </c>
      <c r="I108" s="3" t="b">
        <f aca="false">FALSE()</f>
        <v>0</v>
      </c>
      <c r="J108" s="1" t="s">
        <v>891</v>
      </c>
      <c r="K108" s="1" t="s">
        <v>25</v>
      </c>
      <c r="L108" s="1" t="s">
        <v>892</v>
      </c>
      <c r="M108" s="1" t="s">
        <v>893</v>
      </c>
      <c r="N108" s="1" t="s">
        <v>894</v>
      </c>
      <c r="O108" s="1" t="s">
        <v>895</v>
      </c>
      <c r="P108" s="1" t="s">
        <v>252</v>
      </c>
      <c r="Q108" s="1" t="s">
        <v>896</v>
      </c>
    </row>
    <row r="109" customFormat="false" ht="12.8" hidden="false" customHeight="false" outlineLevel="0" collapsed="false">
      <c r="A109" s="1" t="s">
        <v>17</v>
      </c>
      <c r="B109" s="1" t="s">
        <v>841</v>
      </c>
      <c r="C109" s="1" t="s">
        <v>19</v>
      </c>
      <c r="D109" s="1" t="s">
        <v>897</v>
      </c>
      <c r="E109" s="1" t="s">
        <v>897</v>
      </c>
      <c r="F109" s="1" t="s">
        <v>898</v>
      </c>
      <c r="G109" s="1" t="s">
        <v>22</v>
      </c>
      <c r="H109" s="1" t="s">
        <v>899</v>
      </c>
      <c r="I109" s="3" t="b">
        <f aca="false">FALSE()</f>
        <v>0</v>
      </c>
      <c r="J109" s="1" t="s">
        <v>900</v>
      </c>
      <c r="K109" s="1" t="s">
        <v>176</v>
      </c>
      <c r="L109" s="1" t="s">
        <v>390</v>
      </c>
      <c r="M109" s="1" t="s">
        <v>901</v>
      </c>
      <c r="N109" s="1" t="s">
        <v>242</v>
      </c>
      <c r="O109" s="1" t="s">
        <v>902</v>
      </c>
      <c r="P109" s="1" t="s">
        <v>601</v>
      </c>
      <c r="Q109" s="1" t="s">
        <v>903</v>
      </c>
    </row>
    <row r="110" customFormat="false" ht="12.8" hidden="false" customHeight="false" outlineLevel="0" collapsed="false">
      <c r="A110" s="1" t="s">
        <v>17</v>
      </c>
      <c r="B110" s="1" t="s">
        <v>841</v>
      </c>
      <c r="C110" s="1" t="s">
        <v>19</v>
      </c>
      <c r="D110" s="1" t="s">
        <v>904</v>
      </c>
      <c r="E110" s="1" t="s">
        <v>904</v>
      </c>
      <c r="F110" s="1" t="s">
        <v>905</v>
      </c>
      <c r="G110" s="1" t="s">
        <v>22</v>
      </c>
      <c r="H110" s="1" t="s">
        <v>906</v>
      </c>
      <c r="I110" s="3" t="b">
        <f aca="false">FALSE()</f>
        <v>0</v>
      </c>
      <c r="J110" s="1" t="s">
        <v>907</v>
      </c>
      <c r="K110" s="1" t="s">
        <v>25</v>
      </c>
      <c r="L110" s="1" t="s">
        <v>908</v>
      </c>
      <c r="M110" s="1" t="s">
        <v>909</v>
      </c>
      <c r="N110" s="1" t="s">
        <v>120</v>
      </c>
      <c r="O110" s="1" t="s">
        <v>242</v>
      </c>
      <c r="P110" s="1" t="s">
        <v>871</v>
      </c>
      <c r="Q110" s="1" t="s">
        <v>910</v>
      </c>
    </row>
    <row r="111" customFormat="false" ht="12.8" hidden="false" customHeight="false" outlineLevel="0" collapsed="false">
      <c r="A111" s="1" t="s">
        <v>17</v>
      </c>
      <c r="B111" s="1" t="s">
        <v>841</v>
      </c>
      <c r="C111" s="1" t="s">
        <v>19</v>
      </c>
      <c r="D111" s="1" t="s">
        <v>911</v>
      </c>
      <c r="E111" s="1" t="s">
        <v>911</v>
      </c>
      <c r="F111" s="1" t="s">
        <v>912</v>
      </c>
      <c r="G111" s="1" t="s">
        <v>22</v>
      </c>
      <c r="H111" s="1" t="s">
        <v>913</v>
      </c>
      <c r="I111" s="3" t="b">
        <f aca="false">FALSE()</f>
        <v>0</v>
      </c>
      <c r="J111" s="1" t="s">
        <v>914</v>
      </c>
      <c r="K111" s="1" t="s">
        <v>147</v>
      </c>
      <c r="L111" s="1" t="s">
        <v>915</v>
      </c>
      <c r="M111" s="1" t="s">
        <v>916</v>
      </c>
      <c r="N111" s="1" t="s">
        <v>242</v>
      </c>
      <c r="O111" s="1" t="s">
        <v>63</v>
      </c>
      <c r="P111" s="1" t="s">
        <v>30</v>
      </c>
      <c r="Q111" s="1" t="s">
        <v>917</v>
      </c>
    </row>
    <row r="112" customFormat="false" ht="12.8" hidden="false" customHeight="false" outlineLevel="0" collapsed="false">
      <c r="A112" s="1" t="s">
        <v>17</v>
      </c>
      <c r="B112" s="1" t="s">
        <v>841</v>
      </c>
      <c r="C112" s="1" t="s">
        <v>19</v>
      </c>
      <c r="D112" s="1" t="s">
        <v>918</v>
      </c>
      <c r="E112" s="1" t="s">
        <v>918</v>
      </c>
      <c r="F112" s="1" t="s">
        <v>919</v>
      </c>
      <c r="G112" s="1" t="s">
        <v>22</v>
      </c>
      <c r="H112" s="1" t="s">
        <v>920</v>
      </c>
      <c r="I112" s="3" t="b">
        <f aca="false">FALSE()</f>
        <v>0</v>
      </c>
      <c r="J112" s="1" t="s">
        <v>921</v>
      </c>
      <c r="K112" s="1" t="s">
        <v>49</v>
      </c>
      <c r="L112" s="1" t="s">
        <v>922</v>
      </c>
      <c r="M112" s="1" t="s">
        <v>923</v>
      </c>
      <c r="N112" s="1" t="s">
        <v>120</v>
      </c>
      <c r="O112" s="1" t="s">
        <v>63</v>
      </c>
      <c r="P112" s="1" t="s">
        <v>924</v>
      </c>
      <c r="Q112" s="1" t="s">
        <v>925</v>
      </c>
    </row>
    <row r="113" customFormat="false" ht="12.8" hidden="false" customHeight="false" outlineLevel="0" collapsed="false">
      <c r="A113" s="1" t="s">
        <v>17</v>
      </c>
      <c r="B113" s="1" t="s">
        <v>841</v>
      </c>
      <c r="C113" s="1" t="s">
        <v>19</v>
      </c>
      <c r="D113" s="1" t="s">
        <v>926</v>
      </c>
      <c r="E113" s="1" t="s">
        <v>926</v>
      </c>
      <c r="F113" s="1" t="s">
        <v>927</v>
      </c>
      <c r="G113" s="1" t="s">
        <v>22</v>
      </c>
      <c r="H113" s="1" t="s">
        <v>928</v>
      </c>
      <c r="I113" s="3" t="b">
        <f aca="false">FALSE()</f>
        <v>0</v>
      </c>
      <c r="J113" s="1" t="s">
        <v>929</v>
      </c>
      <c r="K113" s="1" t="s">
        <v>930</v>
      </c>
      <c r="L113" s="1" t="s">
        <v>908</v>
      </c>
      <c r="M113" s="1" t="s">
        <v>931</v>
      </c>
      <c r="N113" s="1" t="s">
        <v>561</v>
      </c>
      <c r="O113" s="1" t="s">
        <v>351</v>
      </c>
      <c r="P113" s="1" t="s">
        <v>30</v>
      </c>
      <c r="Q113" s="1" t="s">
        <v>932</v>
      </c>
    </row>
    <row r="114" customFormat="false" ht="12.8" hidden="false" customHeight="false" outlineLevel="0" collapsed="false">
      <c r="A114" s="1" t="s">
        <v>17</v>
      </c>
      <c r="B114" s="1" t="s">
        <v>841</v>
      </c>
      <c r="C114" s="1" t="s">
        <v>19</v>
      </c>
      <c r="D114" s="1" t="s">
        <v>933</v>
      </c>
      <c r="E114" s="1" t="s">
        <v>933</v>
      </c>
      <c r="F114" s="1" t="s">
        <v>934</v>
      </c>
      <c r="G114" s="1" t="s">
        <v>22</v>
      </c>
      <c r="H114" s="1" t="s">
        <v>935</v>
      </c>
      <c r="I114" s="3" t="b">
        <f aca="false">FALSE()</f>
        <v>0</v>
      </c>
      <c r="J114" s="1" t="s">
        <v>936</v>
      </c>
      <c r="K114" s="1" t="s">
        <v>239</v>
      </c>
      <c r="L114" s="1" t="s">
        <v>861</v>
      </c>
      <c r="M114" s="1" t="s">
        <v>937</v>
      </c>
      <c r="N114" s="1" t="s">
        <v>242</v>
      </c>
      <c r="O114" s="1" t="s">
        <v>902</v>
      </c>
      <c r="P114" s="1" t="s">
        <v>30</v>
      </c>
      <c r="Q114" s="1" t="s">
        <v>938</v>
      </c>
    </row>
    <row r="115" customFormat="false" ht="12.8" hidden="false" customHeight="false" outlineLevel="0" collapsed="false">
      <c r="A115" s="1" t="s">
        <v>17</v>
      </c>
      <c r="B115" s="1" t="s">
        <v>841</v>
      </c>
      <c r="C115" s="1" t="s">
        <v>19</v>
      </c>
      <c r="D115" s="1" t="s">
        <v>939</v>
      </c>
      <c r="E115" s="1" t="s">
        <v>939</v>
      </c>
      <c r="F115" s="1" t="s">
        <v>940</v>
      </c>
      <c r="G115" s="1" t="s">
        <v>22</v>
      </c>
      <c r="H115" s="1" t="s">
        <v>941</v>
      </c>
      <c r="I115" s="3" t="b">
        <f aca="false">FALSE()</f>
        <v>0</v>
      </c>
      <c r="J115" s="1" t="s">
        <v>942</v>
      </c>
      <c r="K115" s="1" t="s">
        <v>147</v>
      </c>
      <c r="L115" s="1" t="s">
        <v>922</v>
      </c>
      <c r="M115" s="1" t="s">
        <v>943</v>
      </c>
      <c r="N115" s="1" t="s">
        <v>617</v>
      </c>
      <c r="O115" s="1" t="s">
        <v>130</v>
      </c>
      <c r="P115" s="1" t="s">
        <v>131</v>
      </c>
      <c r="Q115" s="1" t="s">
        <v>944</v>
      </c>
    </row>
    <row r="116" customFormat="false" ht="12.8" hidden="false" customHeight="false" outlineLevel="0" collapsed="false">
      <c r="A116" s="1" t="s">
        <v>17</v>
      </c>
      <c r="B116" s="1" t="s">
        <v>841</v>
      </c>
      <c r="C116" s="1" t="s">
        <v>19</v>
      </c>
      <c r="D116" s="1" t="s">
        <v>945</v>
      </c>
      <c r="E116" s="1" t="s">
        <v>945</v>
      </c>
      <c r="F116" s="1" t="s">
        <v>946</v>
      </c>
      <c r="G116" s="1" t="s">
        <v>35</v>
      </c>
      <c r="H116" s="1" t="s">
        <v>947</v>
      </c>
      <c r="I116" s="3" t="b">
        <f aca="false">FALSE()</f>
        <v>0</v>
      </c>
      <c r="J116" s="1" t="s">
        <v>948</v>
      </c>
      <c r="K116" s="1" t="s">
        <v>60</v>
      </c>
      <c r="L116" s="1" t="s">
        <v>84</v>
      </c>
      <c r="M116" s="1" t="s">
        <v>949</v>
      </c>
      <c r="N116" s="1" t="s">
        <v>342</v>
      </c>
      <c r="O116" s="1" t="s">
        <v>242</v>
      </c>
      <c r="P116" s="1" t="s">
        <v>43</v>
      </c>
      <c r="Q116" s="1" t="s">
        <v>950</v>
      </c>
    </row>
    <row r="117" customFormat="false" ht="12.8" hidden="false" customHeight="false" outlineLevel="0" collapsed="false">
      <c r="A117" s="1" t="s">
        <v>17</v>
      </c>
      <c r="B117" s="1" t="s">
        <v>841</v>
      </c>
      <c r="C117" s="1" t="s">
        <v>19</v>
      </c>
      <c r="D117" s="1" t="s">
        <v>951</v>
      </c>
      <c r="E117" s="1" t="s">
        <v>951</v>
      </c>
      <c r="F117" s="1" t="s">
        <v>952</v>
      </c>
      <c r="G117" s="1" t="s">
        <v>22</v>
      </c>
      <c r="H117" s="1" t="s">
        <v>953</v>
      </c>
      <c r="I117" s="3" t="b">
        <f aca="false">FALSE()</f>
        <v>0</v>
      </c>
      <c r="J117" s="1" t="s">
        <v>954</v>
      </c>
      <c r="K117" s="1" t="s">
        <v>126</v>
      </c>
      <c r="L117" s="1" t="s">
        <v>390</v>
      </c>
      <c r="M117" s="1" t="s">
        <v>955</v>
      </c>
      <c r="N117" s="1" t="s">
        <v>902</v>
      </c>
      <c r="O117" s="1" t="s">
        <v>41</v>
      </c>
      <c r="P117" s="1" t="s">
        <v>252</v>
      </c>
      <c r="Q117" s="1" t="s">
        <v>956</v>
      </c>
    </row>
    <row r="118" customFormat="false" ht="12.8" hidden="false" customHeight="false" outlineLevel="0" collapsed="false">
      <c r="A118" s="1" t="s">
        <v>17</v>
      </c>
      <c r="B118" s="1" t="s">
        <v>841</v>
      </c>
      <c r="C118" s="1" t="s">
        <v>19</v>
      </c>
      <c r="D118" s="1" t="s">
        <v>957</v>
      </c>
      <c r="E118" s="1" t="s">
        <v>957</v>
      </c>
      <c r="F118" s="1" t="s">
        <v>958</v>
      </c>
      <c r="G118" s="1" t="s">
        <v>22</v>
      </c>
      <c r="H118" s="1" t="s">
        <v>959</v>
      </c>
      <c r="I118" s="3" t="b">
        <f aca="false">FALSE()</f>
        <v>0</v>
      </c>
      <c r="J118" s="1" t="s">
        <v>960</v>
      </c>
      <c r="K118" s="1" t="s">
        <v>877</v>
      </c>
      <c r="L118" s="1" t="s">
        <v>50</v>
      </c>
      <c r="M118" s="1" t="s">
        <v>961</v>
      </c>
      <c r="N118" s="1" t="s">
        <v>715</v>
      </c>
      <c r="O118" s="1" t="s">
        <v>924</v>
      </c>
      <c r="P118" s="1" t="s">
        <v>689</v>
      </c>
      <c r="Q118" s="1" t="s">
        <v>962</v>
      </c>
    </row>
    <row r="119" customFormat="false" ht="12.8" hidden="false" customHeight="false" outlineLevel="0" collapsed="false">
      <c r="A119" s="1" t="s">
        <v>17</v>
      </c>
      <c r="B119" s="1" t="s">
        <v>841</v>
      </c>
      <c r="C119" s="1" t="s">
        <v>19</v>
      </c>
      <c r="D119" s="1" t="s">
        <v>963</v>
      </c>
      <c r="E119" s="1" t="s">
        <v>963</v>
      </c>
      <c r="F119" s="1" t="s">
        <v>964</v>
      </c>
      <c r="G119" s="1" t="s">
        <v>22</v>
      </c>
      <c r="H119" s="1" t="s">
        <v>965</v>
      </c>
      <c r="I119" s="3" t="b">
        <f aca="false">FALSE()</f>
        <v>0</v>
      </c>
      <c r="J119" s="1" t="s">
        <v>966</v>
      </c>
      <c r="K119" s="1" t="s">
        <v>25</v>
      </c>
      <c r="L119" s="1" t="s">
        <v>967</v>
      </c>
      <c r="M119" s="1" t="s">
        <v>968</v>
      </c>
      <c r="N119" s="1" t="s">
        <v>969</v>
      </c>
      <c r="O119" s="1" t="s">
        <v>970</v>
      </c>
      <c r="P119" s="1" t="s">
        <v>601</v>
      </c>
      <c r="Q119" s="1" t="s">
        <v>971</v>
      </c>
    </row>
    <row r="120" customFormat="false" ht="12.8" hidden="false" customHeight="false" outlineLevel="0" collapsed="false">
      <c r="A120" s="1" t="s">
        <v>17</v>
      </c>
      <c r="B120" s="1" t="s">
        <v>841</v>
      </c>
      <c r="C120" s="1" t="s">
        <v>19</v>
      </c>
      <c r="D120" s="1" t="s">
        <v>972</v>
      </c>
      <c r="E120" s="1" t="s">
        <v>972</v>
      </c>
      <c r="F120" s="1" t="s">
        <v>973</v>
      </c>
      <c r="G120" s="1" t="s">
        <v>22</v>
      </c>
      <c r="H120" s="1" t="s">
        <v>974</v>
      </c>
      <c r="I120" s="3" t="b">
        <f aca="false">FALSE()</f>
        <v>0</v>
      </c>
      <c r="J120" s="1" t="s">
        <v>975</v>
      </c>
      <c r="K120" s="1" t="s">
        <v>147</v>
      </c>
      <c r="L120" s="1" t="s">
        <v>976</v>
      </c>
      <c r="M120" s="1" t="s">
        <v>977</v>
      </c>
      <c r="N120" s="1" t="s">
        <v>42</v>
      </c>
      <c r="O120" s="1" t="s">
        <v>63</v>
      </c>
      <c r="P120" s="1" t="s">
        <v>131</v>
      </c>
      <c r="Q120" s="1" t="s">
        <v>978</v>
      </c>
    </row>
    <row r="121" customFormat="false" ht="12.8" hidden="false" customHeight="false" outlineLevel="0" collapsed="false">
      <c r="A121" s="1" t="s">
        <v>17</v>
      </c>
      <c r="B121" s="1" t="s">
        <v>841</v>
      </c>
      <c r="C121" s="1" t="s">
        <v>19</v>
      </c>
      <c r="D121" s="1" t="s">
        <v>979</v>
      </c>
      <c r="E121" s="1" t="s">
        <v>979</v>
      </c>
      <c r="F121" s="1" t="s">
        <v>980</v>
      </c>
      <c r="G121" s="1" t="s">
        <v>22</v>
      </c>
      <c r="H121" s="1" t="s">
        <v>981</v>
      </c>
      <c r="I121" s="3" t="b">
        <f aca="false">FALSE()</f>
        <v>0</v>
      </c>
      <c r="J121" s="1" t="s">
        <v>982</v>
      </c>
      <c r="K121" s="1" t="s">
        <v>25</v>
      </c>
      <c r="L121" s="1" t="s">
        <v>983</v>
      </c>
      <c r="M121" s="1" t="s">
        <v>984</v>
      </c>
      <c r="N121" s="1" t="s">
        <v>63</v>
      </c>
      <c r="O121" s="1" t="s">
        <v>902</v>
      </c>
      <c r="P121" s="1" t="s">
        <v>985</v>
      </c>
      <c r="Q121" s="1" t="s">
        <v>986</v>
      </c>
    </row>
    <row r="122" customFormat="false" ht="12.8" hidden="false" customHeight="false" outlineLevel="0" collapsed="false">
      <c r="A122" s="1" t="s">
        <v>17</v>
      </c>
      <c r="B122" s="1" t="s">
        <v>987</v>
      </c>
      <c r="C122" s="1" t="s">
        <v>19</v>
      </c>
      <c r="D122" s="1" t="s">
        <v>988</v>
      </c>
      <c r="E122" s="1" t="s">
        <v>988</v>
      </c>
      <c r="F122" s="1" t="s">
        <v>989</v>
      </c>
      <c r="G122" s="1" t="s">
        <v>22</v>
      </c>
      <c r="H122" s="1" t="s">
        <v>990</v>
      </c>
      <c r="I122" s="3" t="b">
        <f aca="false">FALSE()</f>
        <v>0</v>
      </c>
      <c r="J122" s="1" t="s">
        <v>991</v>
      </c>
      <c r="K122" s="1" t="s">
        <v>137</v>
      </c>
      <c r="L122" s="1" t="s">
        <v>992</v>
      </c>
      <c r="M122" s="1" t="s">
        <v>993</v>
      </c>
      <c r="N122" s="1" t="s">
        <v>994</v>
      </c>
      <c r="O122" s="1" t="s">
        <v>802</v>
      </c>
      <c r="P122" s="1" t="s">
        <v>252</v>
      </c>
      <c r="Q122" s="1" t="s">
        <v>995</v>
      </c>
    </row>
    <row r="123" customFormat="false" ht="12.8" hidden="false" customHeight="false" outlineLevel="0" collapsed="false">
      <c r="A123" s="1" t="s">
        <v>17</v>
      </c>
      <c r="B123" s="1" t="s">
        <v>987</v>
      </c>
      <c r="C123" s="1" t="s">
        <v>19</v>
      </c>
      <c r="D123" s="1" t="s">
        <v>996</v>
      </c>
      <c r="E123" s="1" t="s">
        <v>996</v>
      </c>
      <c r="F123" s="1" t="s">
        <v>997</v>
      </c>
      <c r="G123" s="1" t="s">
        <v>22</v>
      </c>
      <c r="H123" s="1" t="s">
        <v>998</v>
      </c>
      <c r="I123" s="3" t="b">
        <f aca="false">FALSE()</f>
        <v>0</v>
      </c>
      <c r="J123" s="1" t="s">
        <v>999</v>
      </c>
      <c r="K123" s="1" t="s">
        <v>137</v>
      </c>
      <c r="L123" s="1" t="s">
        <v>639</v>
      </c>
      <c r="M123" s="1" t="s">
        <v>1000</v>
      </c>
      <c r="N123" s="1" t="s">
        <v>180</v>
      </c>
      <c r="O123" s="1" t="s">
        <v>716</v>
      </c>
      <c r="P123" s="1" t="s">
        <v>30</v>
      </c>
      <c r="Q123" s="1" t="s">
        <v>1001</v>
      </c>
    </row>
    <row r="124" customFormat="false" ht="12.8" hidden="false" customHeight="false" outlineLevel="0" collapsed="false">
      <c r="A124" s="1" t="s">
        <v>17</v>
      </c>
      <c r="B124" s="1" t="s">
        <v>987</v>
      </c>
      <c r="C124" s="1" t="s">
        <v>19</v>
      </c>
      <c r="D124" s="1" t="s">
        <v>1002</v>
      </c>
      <c r="E124" s="1" t="s">
        <v>1002</v>
      </c>
      <c r="F124" s="1" t="s">
        <v>1003</v>
      </c>
      <c r="G124" s="1" t="s">
        <v>22</v>
      </c>
      <c r="H124" s="1" t="s">
        <v>1004</v>
      </c>
      <c r="I124" s="3" t="b">
        <f aca="false">FALSE()</f>
        <v>0</v>
      </c>
      <c r="J124" s="1" t="s">
        <v>1005</v>
      </c>
      <c r="K124" s="1" t="s">
        <v>147</v>
      </c>
      <c r="L124" s="1" t="s">
        <v>167</v>
      </c>
      <c r="M124" s="1" t="s">
        <v>1006</v>
      </c>
      <c r="N124" s="1" t="s">
        <v>1007</v>
      </c>
      <c r="O124" s="1" t="s">
        <v>1008</v>
      </c>
      <c r="P124" s="1" t="s">
        <v>601</v>
      </c>
      <c r="Q124" s="1" t="s">
        <v>1009</v>
      </c>
    </row>
    <row r="125" customFormat="false" ht="12.8" hidden="false" customHeight="false" outlineLevel="0" collapsed="false">
      <c r="A125" s="1" t="s">
        <v>17</v>
      </c>
      <c r="B125" s="1" t="s">
        <v>987</v>
      </c>
      <c r="C125" s="1" t="s">
        <v>19</v>
      </c>
      <c r="D125" s="1" t="s">
        <v>1010</v>
      </c>
      <c r="E125" s="1" t="s">
        <v>1010</v>
      </c>
      <c r="F125" s="1" t="s">
        <v>1011</v>
      </c>
      <c r="G125" s="1" t="s">
        <v>22</v>
      </c>
      <c r="H125" s="1" t="s">
        <v>1012</v>
      </c>
      <c r="I125" s="3" t="b">
        <f aca="false">FALSE()</f>
        <v>0</v>
      </c>
      <c r="J125" s="1" t="s">
        <v>1013</v>
      </c>
      <c r="K125" s="1" t="s">
        <v>197</v>
      </c>
      <c r="L125" s="1" t="s">
        <v>992</v>
      </c>
      <c r="M125" s="1" t="s">
        <v>1014</v>
      </c>
      <c r="N125" s="1" t="s">
        <v>1015</v>
      </c>
      <c r="O125" s="1" t="s">
        <v>561</v>
      </c>
      <c r="P125" s="1" t="s">
        <v>1016</v>
      </c>
      <c r="Q125" s="1" t="s">
        <v>1017</v>
      </c>
    </row>
    <row r="126" customFormat="false" ht="12.8" hidden="false" customHeight="false" outlineLevel="0" collapsed="false">
      <c r="A126" s="1" t="s">
        <v>17</v>
      </c>
      <c r="B126" s="1" t="s">
        <v>987</v>
      </c>
      <c r="C126" s="1" t="s">
        <v>19</v>
      </c>
      <c r="D126" s="1" t="s">
        <v>1018</v>
      </c>
      <c r="E126" s="1" t="s">
        <v>1018</v>
      </c>
      <c r="F126" s="1" t="s">
        <v>1019</v>
      </c>
      <c r="G126" s="1" t="s">
        <v>22</v>
      </c>
      <c r="H126" s="1" t="s">
        <v>1020</v>
      </c>
      <c r="I126" s="3" t="b">
        <f aca="false">FALSE()</f>
        <v>0</v>
      </c>
      <c r="J126" s="1" t="s">
        <v>1021</v>
      </c>
      <c r="K126" s="1" t="s">
        <v>25</v>
      </c>
      <c r="L126" s="1" t="s">
        <v>333</v>
      </c>
      <c r="M126" s="1" t="s">
        <v>1022</v>
      </c>
      <c r="N126" s="1" t="s">
        <v>120</v>
      </c>
      <c r="O126" s="1" t="s">
        <v>63</v>
      </c>
      <c r="P126" s="1" t="s">
        <v>601</v>
      </c>
      <c r="Q126" s="1" t="s">
        <v>1023</v>
      </c>
    </row>
    <row r="127" customFormat="false" ht="12.8" hidden="false" customHeight="false" outlineLevel="0" collapsed="false">
      <c r="A127" s="1" t="s">
        <v>17</v>
      </c>
      <c r="B127" s="1" t="s">
        <v>987</v>
      </c>
      <c r="C127" s="1" t="s">
        <v>19</v>
      </c>
      <c r="D127" s="1" t="s">
        <v>1024</v>
      </c>
      <c r="E127" s="1" t="s">
        <v>1024</v>
      </c>
      <c r="F127" s="1" t="s">
        <v>1025</v>
      </c>
      <c r="G127" s="1" t="s">
        <v>22</v>
      </c>
      <c r="H127" s="1" t="s">
        <v>1026</v>
      </c>
      <c r="I127" s="3" t="b">
        <f aca="false">FALSE()</f>
        <v>0</v>
      </c>
      <c r="J127" s="1" t="s">
        <v>1027</v>
      </c>
      <c r="K127" s="1" t="s">
        <v>239</v>
      </c>
      <c r="L127" s="1" t="s">
        <v>861</v>
      </c>
      <c r="M127" s="1" t="s">
        <v>1028</v>
      </c>
      <c r="N127" s="1" t="s">
        <v>242</v>
      </c>
      <c r="O127" s="1" t="s">
        <v>63</v>
      </c>
      <c r="P127" s="1" t="s">
        <v>30</v>
      </c>
      <c r="Q127" s="1" t="s">
        <v>1029</v>
      </c>
    </row>
    <row r="128" customFormat="false" ht="12.8" hidden="false" customHeight="false" outlineLevel="0" collapsed="false">
      <c r="A128" s="1" t="s">
        <v>17</v>
      </c>
      <c r="B128" s="1" t="s">
        <v>987</v>
      </c>
      <c r="C128" s="1" t="s">
        <v>19</v>
      </c>
      <c r="D128" s="1" t="s">
        <v>1030</v>
      </c>
      <c r="E128" s="1" t="s">
        <v>1030</v>
      </c>
      <c r="F128" s="1" t="s">
        <v>1031</v>
      </c>
      <c r="G128" s="1" t="s">
        <v>22</v>
      </c>
      <c r="H128" s="1" t="s">
        <v>1032</v>
      </c>
      <c r="I128" s="3" t="b">
        <f aca="false">FALSE()</f>
        <v>0</v>
      </c>
      <c r="J128" s="1" t="s">
        <v>1033</v>
      </c>
      <c r="K128" s="1" t="s">
        <v>293</v>
      </c>
      <c r="L128" s="1" t="s">
        <v>1034</v>
      </c>
      <c r="M128" s="1" t="s">
        <v>1035</v>
      </c>
      <c r="N128" s="1" t="s">
        <v>342</v>
      </c>
      <c r="O128" s="1" t="s">
        <v>63</v>
      </c>
      <c r="P128" s="1" t="s">
        <v>181</v>
      </c>
      <c r="Q128" s="1" t="s">
        <v>1036</v>
      </c>
    </row>
    <row r="129" customFormat="false" ht="12.8" hidden="false" customHeight="false" outlineLevel="0" collapsed="false">
      <c r="A129" s="1" t="s">
        <v>17</v>
      </c>
      <c r="B129" s="1" t="s">
        <v>987</v>
      </c>
      <c r="C129" s="1" t="s">
        <v>19</v>
      </c>
      <c r="D129" s="1" t="s">
        <v>1037</v>
      </c>
      <c r="E129" s="1" t="s">
        <v>1037</v>
      </c>
      <c r="F129" s="1" t="s">
        <v>1038</v>
      </c>
      <c r="G129" s="1" t="s">
        <v>22</v>
      </c>
      <c r="H129" s="1" t="s">
        <v>1039</v>
      </c>
      <c r="I129" s="3" t="b">
        <f aca="false">FALSE()</f>
        <v>0</v>
      </c>
      <c r="J129" s="1" t="s">
        <v>1040</v>
      </c>
      <c r="K129" s="1" t="s">
        <v>176</v>
      </c>
      <c r="L129" s="1" t="s">
        <v>1041</v>
      </c>
      <c r="M129" s="1" t="s">
        <v>1042</v>
      </c>
      <c r="N129" s="1" t="s">
        <v>1043</v>
      </c>
      <c r="O129" s="1" t="s">
        <v>570</v>
      </c>
      <c r="P129" s="1" t="s">
        <v>772</v>
      </c>
      <c r="Q129" s="1" t="s">
        <v>1044</v>
      </c>
    </row>
    <row r="130" customFormat="false" ht="12.8" hidden="false" customHeight="false" outlineLevel="0" collapsed="false">
      <c r="A130" s="1" t="s">
        <v>17</v>
      </c>
      <c r="B130" s="1" t="s">
        <v>987</v>
      </c>
      <c r="C130" s="1" t="s">
        <v>19</v>
      </c>
      <c r="D130" s="1" t="s">
        <v>1045</v>
      </c>
      <c r="E130" s="1" t="s">
        <v>1045</v>
      </c>
      <c r="F130" s="1" t="s">
        <v>1046</v>
      </c>
      <c r="G130" s="1" t="s">
        <v>22</v>
      </c>
      <c r="H130" s="1" t="s">
        <v>1047</v>
      </c>
      <c r="I130" s="3" t="b">
        <f aca="false">FALSE()</f>
        <v>0</v>
      </c>
      <c r="J130" s="1" t="s">
        <v>1048</v>
      </c>
      <c r="K130" s="1" t="s">
        <v>147</v>
      </c>
      <c r="L130" s="1" t="s">
        <v>333</v>
      </c>
      <c r="M130" s="1" t="s">
        <v>1049</v>
      </c>
      <c r="N130" s="1" t="s">
        <v>824</v>
      </c>
      <c r="O130" s="1" t="s">
        <v>824</v>
      </c>
      <c r="P130" s="1" t="s">
        <v>1050</v>
      </c>
      <c r="Q130" s="1" t="s">
        <v>1051</v>
      </c>
    </row>
    <row r="131" customFormat="false" ht="12.8" hidden="false" customHeight="false" outlineLevel="0" collapsed="false">
      <c r="A131" s="1" t="s">
        <v>17</v>
      </c>
      <c r="B131" s="1" t="s">
        <v>987</v>
      </c>
      <c r="C131" s="1" t="s">
        <v>19</v>
      </c>
      <c r="D131" s="1" t="s">
        <v>1052</v>
      </c>
      <c r="E131" s="1" t="s">
        <v>1052</v>
      </c>
      <c r="F131" s="1" t="s">
        <v>1053</v>
      </c>
      <c r="G131" s="1" t="s">
        <v>22</v>
      </c>
      <c r="H131" s="1" t="s">
        <v>1054</v>
      </c>
      <c r="I131" s="3" t="b">
        <f aca="false">FALSE()</f>
        <v>0</v>
      </c>
      <c r="J131" s="1" t="s">
        <v>1055</v>
      </c>
      <c r="K131" s="1" t="s">
        <v>49</v>
      </c>
      <c r="L131" s="1" t="s">
        <v>390</v>
      </c>
      <c r="M131" s="1" t="s">
        <v>1056</v>
      </c>
      <c r="N131" s="1" t="s">
        <v>63</v>
      </c>
      <c r="O131" s="1" t="s">
        <v>902</v>
      </c>
      <c r="P131" s="1" t="s">
        <v>252</v>
      </c>
      <c r="Q131" s="1" t="s">
        <v>1057</v>
      </c>
    </row>
    <row r="132" customFormat="false" ht="12.8" hidden="false" customHeight="false" outlineLevel="0" collapsed="false">
      <c r="A132" s="1" t="s">
        <v>17</v>
      </c>
      <c r="B132" s="1" t="s">
        <v>987</v>
      </c>
      <c r="C132" s="1" t="s">
        <v>19</v>
      </c>
      <c r="D132" s="1" t="s">
        <v>1058</v>
      </c>
      <c r="E132" s="1" t="s">
        <v>1058</v>
      </c>
      <c r="F132" s="1" t="s">
        <v>1059</v>
      </c>
      <c r="G132" s="1" t="s">
        <v>22</v>
      </c>
      <c r="H132" s="1" t="s">
        <v>1060</v>
      </c>
      <c r="I132" s="3" t="b">
        <f aca="false">FALSE()</f>
        <v>0</v>
      </c>
      <c r="J132" s="1" t="s">
        <v>1061</v>
      </c>
      <c r="K132" s="1" t="s">
        <v>25</v>
      </c>
      <c r="L132" s="1" t="s">
        <v>1062</v>
      </c>
      <c r="M132" s="1" t="s">
        <v>1063</v>
      </c>
      <c r="N132" s="1" t="s">
        <v>118</v>
      </c>
      <c r="O132" s="1" t="s">
        <v>119</v>
      </c>
      <c r="P132" s="1" t="s">
        <v>131</v>
      </c>
      <c r="Q132" s="1" t="s">
        <v>1064</v>
      </c>
    </row>
    <row r="133" customFormat="false" ht="12.8" hidden="false" customHeight="false" outlineLevel="0" collapsed="false">
      <c r="A133" s="1" t="s">
        <v>17</v>
      </c>
      <c r="B133" s="1" t="s">
        <v>987</v>
      </c>
      <c r="C133" s="1" t="s">
        <v>19</v>
      </c>
      <c r="D133" s="1" t="s">
        <v>1065</v>
      </c>
      <c r="E133" s="1" t="s">
        <v>1065</v>
      </c>
      <c r="F133" s="1" t="s">
        <v>1066</v>
      </c>
      <c r="G133" s="1" t="s">
        <v>22</v>
      </c>
      <c r="H133" s="1" t="s">
        <v>1067</v>
      </c>
      <c r="I133" s="3" t="b">
        <f aca="false">FALSE()</f>
        <v>0</v>
      </c>
      <c r="J133" s="1" t="s">
        <v>1068</v>
      </c>
      <c r="K133" s="1" t="s">
        <v>25</v>
      </c>
      <c r="L133" s="1" t="s">
        <v>1069</v>
      </c>
      <c r="M133" s="1" t="s">
        <v>1070</v>
      </c>
      <c r="N133" s="1" t="s">
        <v>1071</v>
      </c>
      <c r="O133" s="1" t="s">
        <v>199</v>
      </c>
      <c r="P133" s="1" t="s">
        <v>252</v>
      </c>
      <c r="Q133" s="1" t="s">
        <v>1072</v>
      </c>
    </row>
    <row r="134" customFormat="false" ht="12.8" hidden="false" customHeight="false" outlineLevel="0" collapsed="false">
      <c r="A134" s="1" t="s">
        <v>17</v>
      </c>
      <c r="B134" s="1" t="s">
        <v>987</v>
      </c>
      <c r="C134" s="1" t="s">
        <v>19</v>
      </c>
      <c r="D134" s="1" t="s">
        <v>1073</v>
      </c>
      <c r="E134" s="1" t="s">
        <v>1073</v>
      </c>
      <c r="F134" s="1" t="s">
        <v>1074</v>
      </c>
      <c r="G134" s="1" t="s">
        <v>22</v>
      </c>
      <c r="H134" s="1" t="s">
        <v>1075</v>
      </c>
      <c r="I134" s="3" t="b">
        <f aca="false">FALSE()</f>
        <v>0</v>
      </c>
      <c r="J134" s="1" t="s">
        <v>1076</v>
      </c>
      <c r="K134" s="1" t="s">
        <v>147</v>
      </c>
      <c r="L134" s="1" t="s">
        <v>1077</v>
      </c>
      <c r="M134" s="1" t="s">
        <v>1078</v>
      </c>
      <c r="N134" s="1" t="s">
        <v>1079</v>
      </c>
      <c r="O134" s="1" t="s">
        <v>151</v>
      </c>
      <c r="P134" s="1" t="s">
        <v>181</v>
      </c>
      <c r="Q134" s="1" t="s">
        <v>1080</v>
      </c>
    </row>
    <row r="135" customFormat="false" ht="12.8" hidden="false" customHeight="false" outlineLevel="0" collapsed="false">
      <c r="A135" s="1" t="s">
        <v>17</v>
      </c>
      <c r="B135" s="1" t="s">
        <v>987</v>
      </c>
      <c r="C135" s="1" t="s">
        <v>19</v>
      </c>
      <c r="D135" s="1" t="s">
        <v>1081</v>
      </c>
      <c r="E135" s="1" t="s">
        <v>1081</v>
      </c>
      <c r="F135" s="1" t="s">
        <v>1082</v>
      </c>
      <c r="G135" s="1" t="s">
        <v>22</v>
      </c>
      <c r="H135" s="1" t="s">
        <v>1083</v>
      </c>
      <c r="I135" s="3" t="b">
        <f aca="false">FALSE()</f>
        <v>0</v>
      </c>
      <c r="J135" s="1" t="s">
        <v>1084</v>
      </c>
      <c r="K135" s="1" t="s">
        <v>176</v>
      </c>
      <c r="L135" s="1" t="s">
        <v>1085</v>
      </c>
      <c r="M135" s="1" t="s">
        <v>1086</v>
      </c>
      <c r="N135" s="1" t="s">
        <v>42</v>
      </c>
      <c r="O135" s="1" t="s">
        <v>242</v>
      </c>
      <c r="P135" s="1" t="s">
        <v>181</v>
      </c>
      <c r="Q135" s="1" t="s">
        <v>1087</v>
      </c>
    </row>
    <row r="136" customFormat="false" ht="12.8" hidden="false" customHeight="false" outlineLevel="0" collapsed="false">
      <c r="A136" s="1" t="s">
        <v>17</v>
      </c>
      <c r="B136" s="1" t="s">
        <v>987</v>
      </c>
      <c r="C136" s="1" t="s">
        <v>19</v>
      </c>
      <c r="D136" s="1" t="s">
        <v>1088</v>
      </c>
      <c r="E136" s="1" t="s">
        <v>1088</v>
      </c>
      <c r="F136" s="1" t="s">
        <v>1089</v>
      </c>
      <c r="G136" s="1" t="s">
        <v>22</v>
      </c>
      <c r="H136" s="1" t="s">
        <v>1090</v>
      </c>
      <c r="I136" s="3" t="b">
        <f aca="false">FALSE()</f>
        <v>0</v>
      </c>
      <c r="J136" s="1" t="s">
        <v>1091</v>
      </c>
      <c r="K136" s="1" t="s">
        <v>49</v>
      </c>
      <c r="L136" s="1" t="s">
        <v>177</v>
      </c>
      <c r="M136" s="1" t="s">
        <v>1092</v>
      </c>
      <c r="N136" s="1" t="s">
        <v>342</v>
      </c>
      <c r="O136" s="1" t="s">
        <v>141</v>
      </c>
      <c r="P136" s="1" t="s">
        <v>29</v>
      </c>
      <c r="Q136" s="1" t="s">
        <v>1093</v>
      </c>
    </row>
    <row r="137" customFormat="false" ht="12.8" hidden="false" customHeight="false" outlineLevel="0" collapsed="false">
      <c r="A137" s="1" t="s">
        <v>17</v>
      </c>
      <c r="B137" s="1" t="s">
        <v>987</v>
      </c>
      <c r="C137" s="1" t="s">
        <v>19</v>
      </c>
      <c r="D137" s="1" t="s">
        <v>1094</v>
      </c>
      <c r="E137" s="1" t="s">
        <v>1094</v>
      </c>
      <c r="F137" s="1" t="s">
        <v>1095</v>
      </c>
      <c r="G137" s="1" t="s">
        <v>22</v>
      </c>
      <c r="H137" s="1" t="s">
        <v>1096</v>
      </c>
      <c r="I137" s="3" t="b">
        <f aca="false">FALSE()</f>
        <v>0</v>
      </c>
      <c r="J137" s="1" t="s">
        <v>1097</v>
      </c>
      <c r="K137" s="1" t="s">
        <v>126</v>
      </c>
      <c r="L137" s="1" t="s">
        <v>1098</v>
      </c>
      <c r="M137" s="1" t="s">
        <v>1099</v>
      </c>
      <c r="N137" s="1" t="s">
        <v>625</v>
      </c>
      <c r="O137" s="1" t="s">
        <v>392</v>
      </c>
      <c r="P137" s="1" t="s">
        <v>131</v>
      </c>
      <c r="Q137" s="1" t="s">
        <v>1100</v>
      </c>
    </row>
    <row r="138" customFormat="false" ht="12.8" hidden="false" customHeight="false" outlineLevel="0" collapsed="false">
      <c r="A138" s="1" t="s">
        <v>17</v>
      </c>
      <c r="B138" s="1" t="s">
        <v>987</v>
      </c>
      <c r="C138" s="1" t="s">
        <v>19</v>
      </c>
      <c r="D138" s="1" t="s">
        <v>1101</v>
      </c>
      <c r="E138" s="1" t="s">
        <v>1101</v>
      </c>
      <c r="F138" s="1" t="s">
        <v>1102</v>
      </c>
      <c r="G138" s="1" t="s">
        <v>22</v>
      </c>
      <c r="H138" s="1" t="s">
        <v>1103</v>
      </c>
      <c r="I138" s="3" t="b">
        <f aca="false">FALSE()</f>
        <v>0</v>
      </c>
      <c r="J138" s="1" t="s">
        <v>1104</v>
      </c>
      <c r="K138" s="1" t="s">
        <v>147</v>
      </c>
      <c r="L138" s="1" t="s">
        <v>768</v>
      </c>
      <c r="M138" s="1" t="s">
        <v>1105</v>
      </c>
      <c r="N138" s="1" t="s">
        <v>408</v>
      </c>
      <c r="O138" s="1" t="s">
        <v>548</v>
      </c>
      <c r="P138" s="1" t="s">
        <v>1106</v>
      </c>
      <c r="Q138" s="1" t="s">
        <v>1107</v>
      </c>
    </row>
    <row r="139" customFormat="false" ht="12.8" hidden="false" customHeight="false" outlineLevel="0" collapsed="false">
      <c r="A139" s="1" t="s">
        <v>17</v>
      </c>
      <c r="B139" s="1" t="s">
        <v>987</v>
      </c>
      <c r="C139" s="1" t="s">
        <v>19</v>
      </c>
      <c r="D139" s="1" t="s">
        <v>1108</v>
      </c>
      <c r="E139" s="1" t="s">
        <v>1108</v>
      </c>
      <c r="F139" s="1" t="s">
        <v>1109</v>
      </c>
      <c r="G139" s="1" t="s">
        <v>22</v>
      </c>
      <c r="H139" s="1" t="s">
        <v>1110</v>
      </c>
      <c r="I139" s="3" t="b">
        <f aca="false">FALSE()</f>
        <v>0</v>
      </c>
      <c r="J139" s="1" t="s">
        <v>1111</v>
      </c>
      <c r="K139" s="1" t="s">
        <v>126</v>
      </c>
      <c r="L139" s="1" t="s">
        <v>1112</v>
      </c>
      <c r="M139" s="1" t="s">
        <v>1113</v>
      </c>
      <c r="N139" s="1" t="s">
        <v>1114</v>
      </c>
      <c r="O139" s="1" t="s">
        <v>1115</v>
      </c>
      <c r="P139" s="1" t="s">
        <v>252</v>
      </c>
      <c r="Q139" s="1" t="s">
        <v>1116</v>
      </c>
    </row>
    <row r="140" customFormat="false" ht="12.8" hidden="false" customHeight="false" outlineLevel="0" collapsed="false">
      <c r="A140" s="1" t="s">
        <v>17</v>
      </c>
      <c r="B140" s="1" t="s">
        <v>987</v>
      </c>
      <c r="C140" s="1" t="s">
        <v>19</v>
      </c>
      <c r="D140" s="1" t="s">
        <v>1117</v>
      </c>
      <c r="E140" s="1" t="s">
        <v>1117</v>
      </c>
      <c r="F140" s="1" t="s">
        <v>1118</v>
      </c>
      <c r="G140" s="1" t="s">
        <v>22</v>
      </c>
      <c r="H140" s="1" t="s">
        <v>1119</v>
      </c>
      <c r="I140" s="3" t="b">
        <f aca="false">FALSE()</f>
        <v>0</v>
      </c>
      <c r="J140" s="1" t="s">
        <v>1120</v>
      </c>
      <c r="K140" s="1" t="s">
        <v>25</v>
      </c>
      <c r="L140" s="1" t="s">
        <v>1085</v>
      </c>
      <c r="M140" s="1" t="s">
        <v>1121</v>
      </c>
      <c r="N140" s="1" t="s">
        <v>1122</v>
      </c>
      <c r="O140" s="1" t="s">
        <v>130</v>
      </c>
      <c r="P140" s="1" t="s">
        <v>181</v>
      </c>
      <c r="Q140" s="1" t="s">
        <v>1123</v>
      </c>
    </row>
    <row r="141" customFormat="false" ht="12.8" hidden="false" customHeight="false" outlineLevel="0" collapsed="false">
      <c r="A141" s="1" t="s">
        <v>17</v>
      </c>
      <c r="B141" s="1" t="s">
        <v>987</v>
      </c>
      <c r="C141" s="1" t="s">
        <v>19</v>
      </c>
      <c r="D141" s="1" t="s">
        <v>1124</v>
      </c>
      <c r="E141" s="1" t="s">
        <v>1124</v>
      </c>
      <c r="F141" s="1" t="s">
        <v>1125</v>
      </c>
      <c r="G141" s="1" t="s">
        <v>22</v>
      </c>
      <c r="H141" s="1" t="s">
        <v>1126</v>
      </c>
      <c r="I141" s="3" t="b">
        <f aca="false">FALSE()</f>
        <v>0</v>
      </c>
      <c r="J141" s="1" t="s">
        <v>1127</v>
      </c>
      <c r="K141" s="1" t="s">
        <v>126</v>
      </c>
      <c r="L141" s="1" t="s">
        <v>892</v>
      </c>
      <c r="M141" s="1" t="s">
        <v>1128</v>
      </c>
      <c r="N141" s="1" t="s">
        <v>902</v>
      </c>
      <c r="O141" s="1" t="s">
        <v>120</v>
      </c>
      <c r="P141" s="1" t="s">
        <v>352</v>
      </c>
      <c r="Q141" s="1" t="s">
        <v>1129</v>
      </c>
    </row>
    <row r="142" customFormat="false" ht="12.8" hidden="false" customHeight="false" outlineLevel="0" collapsed="false">
      <c r="A142" s="1" t="s">
        <v>17</v>
      </c>
      <c r="B142" s="1" t="s">
        <v>987</v>
      </c>
      <c r="C142" s="1" t="s">
        <v>19</v>
      </c>
      <c r="D142" s="1" t="s">
        <v>1130</v>
      </c>
      <c r="E142" s="1" t="s">
        <v>1130</v>
      </c>
      <c r="F142" s="1" t="s">
        <v>1131</v>
      </c>
      <c r="G142" s="1" t="s">
        <v>22</v>
      </c>
      <c r="H142" s="1" t="s">
        <v>1132</v>
      </c>
      <c r="I142" s="3" t="b">
        <f aca="false">FALSE()</f>
        <v>0</v>
      </c>
      <c r="J142" s="1" t="s">
        <v>1133</v>
      </c>
      <c r="K142" s="1" t="s">
        <v>197</v>
      </c>
      <c r="L142" s="1" t="s">
        <v>1134</v>
      </c>
      <c r="M142" s="1" t="s">
        <v>1135</v>
      </c>
      <c r="N142" s="1" t="s">
        <v>1136</v>
      </c>
      <c r="P142" s="1" t="s">
        <v>270</v>
      </c>
      <c r="Q142" s="1" t="s">
        <v>1137</v>
      </c>
    </row>
    <row r="143" customFormat="false" ht="12.8" hidden="false" customHeight="false" outlineLevel="0" collapsed="false">
      <c r="A143" s="1" t="s">
        <v>17</v>
      </c>
      <c r="B143" s="1" t="s">
        <v>987</v>
      </c>
      <c r="C143" s="1" t="s">
        <v>19</v>
      </c>
      <c r="D143" s="1" t="s">
        <v>1138</v>
      </c>
      <c r="E143" s="1" t="s">
        <v>1138</v>
      </c>
      <c r="F143" s="1" t="s">
        <v>1139</v>
      </c>
      <c r="G143" s="1" t="s">
        <v>22</v>
      </c>
      <c r="H143" s="1" t="s">
        <v>1140</v>
      </c>
      <c r="I143" s="3" t="b">
        <f aca="false">FALSE()</f>
        <v>0</v>
      </c>
      <c r="J143" s="1" t="s">
        <v>1141</v>
      </c>
      <c r="K143" s="1" t="s">
        <v>197</v>
      </c>
      <c r="L143" s="1" t="s">
        <v>1142</v>
      </c>
      <c r="M143" s="1" t="s">
        <v>1143</v>
      </c>
      <c r="N143" s="1" t="s">
        <v>1144</v>
      </c>
      <c r="O143" s="1" t="s">
        <v>342</v>
      </c>
      <c r="P143" s="1" t="s">
        <v>384</v>
      </c>
      <c r="Q143" s="1" t="s">
        <v>1145</v>
      </c>
    </row>
    <row r="144" customFormat="false" ht="12.8" hidden="false" customHeight="false" outlineLevel="0" collapsed="false">
      <c r="A144" s="1" t="s">
        <v>17</v>
      </c>
      <c r="B144" s="1" t="s">
        <v>987</v>
      </c>
      <c r="C144" s="1" t="s">
        <v>19</v>
      </c>
      <c r="D144" s="1" t="s">
        <v>1146</v>
      </c>
      <c r="E144" s="1" t="s">
        <v>1146</v>
      </c>
      <c r="F144" s="1" t="s">
        <v>1147</v>
      </c>
      <c r="G144" s="1" t="s">
        <v>22</v>
      </c>
      <c r="H144" s="1" t="s">
        <v>1148</v>
      </c>
      <c r="I144" s="3" t="b">
        <f aca="false">FALSE()</f>
        <v>0</v>
      </c>
      <c r="J144" s="1" t="s">
        <v>1149</v>
      </c>
      <c r="K144" s="1" t="s">
        <v>126</v>
      </c>
      <c r="L144" s="1" t="s">
        <v>892</v>
      </c>
      <c r="M144" s="1" t="s">
        <v>1150</v>
      </c>
      <c r="N144" s="1" t="s">
        <v>895</v>
      </c>
      <c r="O144" s="1" t="s">
        <v>41</v>
      </c>
      <c r="P144" s="1" t="s">
        <v>161</v>
      </c>
      <c r="Q144" s="1" t="s">
        <v>1151</v>
      </c>
    </row>
    <row r="145" customFormat="false" ht="12.8" hidden="false" customHeight="false" outlineLevel="0" collapsed="false">
      <c r="A145" s="1" t="s">
        <v>17</v>
      </c>
      <c r="B145" s="1" t="s">
        <v>987</v>
      </c>
      <c r="C145" s="1" t="s">
        <v>19</v>
      </c>
      <c r="D145" s="1" t="s">
        <v>1152</v>
      </c>
      <c r="E145" s="1" t="s">
        <v>1152</v>
      </c>
      <c r="F145" s="1" t="s">
        <v>1153</v>
      </c>
      <c r="G145" s="1" t="s">
        <v>22</v>
      </c>
      <c r="H145" s="1" t="s">
        <v>1154</v>
      </c>
      <c r="I145" s="3" t="b">
        <f aca="false">FALSE()</f>
        <v>0</v>
      </c>
      <c r="J145" s="1" t="s">
        <v>1155</v>
      </c>
      <c r="K145" s="1" t="s">
        <v>25</v>
      </c>
      <c r="L145" s="1" t="s">
        <v>1156</v>
      </c>
      <c r="M145" s="1" t="s">
        <v>1157</v>
      </c>
      <c r="N145" s="1" t="s">
        <v>1158</v>
      </c>
      <c r="O145" s="1" t="s">
        <v>902</v>
      </c>
      <c r="P145" s="1" t="s">
        <v>252</v>
      </c>
      <c r="Q145" s="1" t="s">
        <v>1159</v>
      </c>
    </row>
    <row r="146" customFormat="false" ht="12.8" hidden="false" customHeight="false" outlineLevel="0" collapsed="false">
      <c r="A146" s="1" t="s">
        <v>17</v>
      </c>
      <c r="B146" s="1" t="s">
        <v>987</v>
      </c>
      <c r="C146" s="1" t="s">
        <v>19</v>
      </c>
      <c r="D146" s="1" t="s">
        <v>1160</v>
      </c>
      <c r="E146" s="1" t="s">
        <v>1160</v>
      </c>
      <c r="F146" s="1" t="s">
        <v>1161</v>
      </c>
      <c r="G146" s="1" t="s">
        <v>22</v>
      </c>
      <c r="H146" s="1" t="s">
        <v>1162</v>
      </c>
      <c r="I146" s="3" t="b">
        <f aca="false">FALSE()</f>
        <v>0</v>
      </c>
      <c r="J146" s="1" t="s">
        <v>1163</v>
      </c>
      <c r="K146" s="1" t="s">
        <v>49</v>
      </c>
      <c r="L146" s="1" t="s">
        <v>1164</v>
      </c>
      <c r="M146" s="1" t="s">
        <v>1165</v>
      </c>
      <c r="N146" s="1" t="s">
        <v>1015</v>
      </c>
      <c r="O146" s="1" t="s">
        <v>673</v>
      </c>
      <c r="P146" s="1" t="s">
        <v>181</v>
      </c>
      <c r="Q146" s="1" t="s">
        <v>1166</v>
      </c>
    </row>
    <row r="147" customFormat="false" ht="12.8" hidden="false" customHeight="false" outlineLevel="0" collapsed="false">
      <c r="A147" s="1" t="s">
        <v>17</v>
      </c>
      <c r="B147" s="1" t="s">
        <v>987</v>
      </c>
      <c r="C147" s="1" t="s">
        <v>19</v>
      </c>
      <c r="D147" s="1" t="s">
        <v>1167</v>
      </c>
      <c r="E147" s="1" t="s">
        <v>1167</v>
      </c>
      <c r="F147" s="1" t="s">
        <v>1168</v>
      </c>
      <c r="G147" s="1" t="s">
        <v>22</v>
      </c>
      <c r="H147" s="1" t="s">
        <v>1169</v>
      </c>
      <c r="I147" s="3" t="b">
        <f aca="false">FALSE()</f>
        <v>0</v>
      </c>
      <c r="J147" s="1" t="s">
        <v>1170</v>
      </c>
      <c r="K147" s="1" t="s">
        <v>365</v>
      </c>
      <c r="L147" s="1" t="s">
        <v>1171</v>
      </c>
      <c r="M147" s="1" t="s">
        <v>1172</v>
      </c>
      <c r="N147" s="1" t="s">
        <v>400</v>
      </c>
      <c r="O147" s="1" t="s">
        <v>242</v>
      </c>
      <c r="P147" s="1" t="s">
        <v>1173</v>
      </c>
      <c r="Q147" s="1" t="s">
        <v>1174</v>
      </c>
    </row>
    <row r="148" customFormat="false" ht="12.8" hidden="false" customHeight="false" outlineLevel="0" collapsed="false">
      <c r="A148" s="1" t="s">
        <v>17</v>
      </c>
      <c r="B148" s="1" t="s">
        <v>987</v>
      </c>
      <c r="C148" s="1" t="s">
        <v>19</v>
      </c>
      <c r="D148" s="1" t="s">
        <v>1175</v>
      </c>
      <c r="E148" s="1" t="s">
        <v>1175</v>
      </c>
      <c r="F148" s="1" t="s">
        <v>1176</v>
      </c>
      <c r="G148" s="1" t="s">
        <v>22</v>
      </c>
      <c r="H148" s="1" t="s">
        <v>1177</v>
      </c>
      <c r="I148" s="3" t="b">
        <f aca="false">FALSE()</f>
        <v>0</v>
      </c>
      <c r="J148" s="1" t="s">
        <v>1178</v>
      </c>
      <c r="K148" s="1" t="s">
        <v>239</v>
      </c>
      <c r="L148" s="1" t="s">
        <v>390</v>
      </c>
      <c r="M148" s="1" t="s">
        <v>1179</v>
      </c>
      <c r="N148" s="1" t="s">
        <v>1180</v>
      </c>
      <c r="O148" s="1" t="s">
        <v>1181</v>
      </c>
      <c r="P148" s="1" t="s">
        <v>1182</v>
      </c>
      <c r="Q148" s="1" t="s">
        <v>1183</v>
      </c>
    </row>
    <row r="149" customFormat="false" ht="12.8" hidden="false" customHeight="false" outlineLevel="0" collapsed="false">
      <c r="A149" s="1" t="s">
        <v>17</v>
      </c>
      <c r="B149" s="1" t="s">
        <v>987</v>
      </c>
      <c r="C149" s="1" t="s">
        <v>19</v>
      </c>
      <c r="D149" s="1" t="s">
        <v>1184</v>
      </c>
      <c r="E149" s="1" t="s">
        <v>1184</v>
      </c>
      <c r="F149" s="1" t="s">
        <v>1185</v>
      </c>
      <c r="G149" s="1" t="s">
        <v>22</v>
      </c>
      <c r="H149" s="1" t="s">
        <v>1186</v>
      </c>
      <c r="I149" s="3" t="b">
        <f aca="false">FALSE()</f>
        <v>0</v>
      </c>
      <c r="J149" s="1" t="s">
        <v>1187</v>
      </c>
      <c r="K149" s="1" t="s">
        <v>147</v>
      </c>
      <c r="L149" s="1" t="s">
        <v>167</v>
      </c>
      <c r="M149" s="1" t="s">
        <v>1188</v>
      </c>
      <c r="N149" s="1" t="s">
        <v>1189</v>
      </c>
      <c r="O149" s="1" t="s">
        <v>1190</v>
      </c>
      <c r="P149" s="1" t="s">
        <v>252</v>
      </c>
      <c r="Q149" s="1" t="s">
        <v>1191</v>
      </c>
    </row>
    <row r="150" customFormat="false" ht="12.8" hidden="false" customHeight="false" outlineLevel="0" collapsed="false">
      <c r="A150" s="1" t="s">
        <v>17</v>
      </c>
      <c r="B150" s="1" t="s">
        <v>987</v>
      </c>
      <c r="C150" s="1" t="s">
        <v>19</v>
      </c>
      <c r="D150" s="1" t="s">
        <v>1192</v>
      </c>
      <c r="E150" s="1" t="s">
        <v>1192</v>
      </c>
      <c r="F150" s="1" t="s">
        <v>1193</v>
      </c>
      <c r="G150" s="1" t="s">
        <v>22</v>
      </c>
      <c r="H150" s="1" t="s">
        <v>1194</v>
      </c>
      <c r="I150" s="3" t="b">
        <f aca="false">FALSE()</f>
        <v>0</v>
      </c>
      <c r="J150" s="1" t="s">
        <v>1195</v>
      </c>
      <c r="K150" s="1" t="s">
        <v>25</v>
      </c>
      <c r="L150" s="1" t="s">
        <v>1196</v>
      </c>
      <c r="M150" s="1" t="s">
        <v>1197</v>
      </c>
      <c r="N150" s="1" t="s">
        <v>895</v>
      </c>
      <c r="O150" s="1" t="s">
        <v>42</v>
      </c>
      <c r="P150" s="1" t="s">
        <v>871</v>
      </c>
      <c r="Q150" s="1" t="s">
        <v>1198</v>
      </c>
    </row>
    <row r="151" customFormat="false" ht="12.8" hidden="false" customHeight="false" outlineLevel="0" collapsed="false">
      <c r="A151" s="1" t="s">
        <v>17</v>
      </c>
      <c r="B151" s="1" t="s">
        <v>987</v>
      </c>
      <c r="C151" s="1" t="s">
        <v>19</v>
      </c>
      <c r="D151" s="1" t="s">
        <v>1199</v>
      </c>
      <c r="E151" s="1" t="s">
        <v>1199</v>
      </c>
      <c r="F151" s="1" t="s">
        <v>1200</v>
      </c>
      <c r="G151" s="1" t="s">
        <v>22</v>
      </c>
      <c r="H151" s="1" t="s">
        <v>1201</v>
      </c>
      <c r="I151" s="3" t="b">
        <f aca="false">FALSE()</f>
        <v>0</v>
      </c>
      <c r="J151" s="1" t="s">
        <v>1202</v>
      </c>
      <c r="K151" s="1" t="s">
        <v>147</v>
      </c>
      <c r="L151" s="1" t="s">
        <v>976</v>
      </c>
      <c r="M151" s="1" t="s">
        <v>1203</v>
      </c>
      <c r="N151" s="1" t="s">
        <v>342</v>
      </c>
      <c r="O151" s="1" t="s">
        <v>1204</v>
      </c>
      <c r="P151" s="1" t="s">
        <v>131</v>
      </c>
      <c r="Q151" s="1" t="s">
        <v>1205</v>
      </c>
    </row>
    <row r="152" customFormat="false" ht="12.8" hidden="false" customHeight="false" outlineLevel="0" collapsed="false">
      <c r="A152" s="1" t="s">
        <v>17</v>
      </c>
      <c r="B152" s="1" t="s">
        <v>987</v>
      </c>
      <c r="C152" s="1" t="s">
        <v>19</v>
      </c>
      <c r="D152" s="1" t="s">
        <v>1206</v>
      </c>
      <c r="E152" s="1" t="s">
        <v>1206</v>
      </c>
      <c r="F152" s="1" t="s">
        <v>1207</v>
      </c>
      <c r="G152" s="1" t="s">
        <v>22</v>
      </c>
      <c r="H152" s="1" t="s">
        <v>1208</v>
      </c>
      <c r="I152" s="3" t="b">
        <f aca="false">FALSE()</f>
        <v>0</v>
      </c>
      <c r="J152" s="1" t="s">
        <v>1209</v>
      </c>
      <c r="K152" s="1" t="s">
        <v>524</v>
      </c>
      <c r="L152" s="1" t="s">
        <v>1210</v>
      </c>
      <c r="M152" s="1" t="s">
        <v>1211</v>
      </c>
      <c r="N152" s="1" t="s">
        <v>1212</v>
      </c>
      <c r="O152" s="1" t="s">
        <v>1213</v>
      </c>
      <c r="P152" s="1" t="s">
        <v>181</v>
      </c>
      <c r="Q152" s="1" t="s">
        <v>1214</v>
      </c>
    </row>
    <row r="153" customFormat="false" ht="12.8" hidden="false" customHeight="false" outlineLevel="0" collapsed="false">
      <c r="A153" s="1" t="s">
        <v>17</v>
      </c>
      <c r="B153" s="1" t="s">
        <v>987</v>
      </c>
      <c r="C153" s="1" t="s">
        <v>19</v>
      </c>
      <c r="D153" s="1" t="s">
        <v>1215</v>
      </c>
      <c r="E153" s="1" t="s">
        <v>1215</v>
      </c>
      <c r="F153" s="1" t="s">
        <v>1216</v>
      </c>
      <c r="G153" s="1" t="s">
        <v>22</v>
      </c>
      <c r="H153" s="1" t="s">
        <v>1217</v>
      </c>
      <c r="I153" s="3" t="b">
        <f aca="false">FALSE()</f>
        <v>0</v>
      </c>
      <c r="J153" s="1" t="s">
        <v>1218</v>
      </c>
      <c r="K153" s="1" t="s">
        <v>126</v>
      </c>
      <c r="L153" s="1" t="s">
        <v>778</v>
      </c>
      <c r="M153" s="1" t="s">
        <v>1219</v>
      </c>
      <c r="N153" s="1" t="s">
        <v>1220</v>
      </c>
      <c r="O153" s="1" t="s">
        <v>1221</v>
      </c>
      <c r="P153" s="1" t="s">
        <v>244</v>
      </c>
      <c r="Q153" s="1" t="s">
        <v>1222</v>
      </c>
    </row>
    <row r="154" customFormat="false" ht="12.8" hidden="false" customHeight="false" outlineLevel="0" collapsed="false">
      <c r="A154" s="1" t="s">
        <v>17</v>
      </c>
      <c r="B154" s="1" t="s">
        <v>987</v>
      </c>
      <c r="C154" s="1" t="s">
        <v>19</v>
      </c>
      <c r="D154" s="1" t="s">
        <v>1223</v>
      </c>
      <c r="E154" s="1" t="s">
        <v>1223</v>
      </c>
      <c r="F154" s="1" t="s">
        <v>1224</v>
      </c>
      <c r="G154" s="1" t="s">
        <v>22</v>
      </c>
      <c r="H154" s="1" t="s">
        <v>1225</v>
      </c>
      <c r="I154" s="3" t="b">
        <f aca="false">FALSE()</f>
        <v>0</v>
      </c>
      <c r="J154" s="1" t="s">
        <v>1226</v>
      </c>
      <c r="K154" s="1" t="s">
        <v>49</v>
      </c>
      <c r="L154" s="1" t="s">
        <v>1227</v>
      </c>
      <c r="M154" s="1" t="s">
        <v>1228</v>
      </c>
      <c r="N154" s="1" t="s">
        <v>1229</v>
      </c>
      <c r="O154" s="1" t="s">
        <v>42</v>
      </c>
      <c r="P154" s="1" t="s">
        <v>252</v>
      </c>
      <c r="Q154" s="1" t="s">
        <v>1230</v>
      </c>
    </row>
    <row r="155" customFormat="false" ht="12.8" hidden="false" customHeight="false" outlineLevel="0" collapsed="false">
      <c r="A155" s="1" t="s">
        <v>17</v>
      </c>
      <c r="B155" s="1" t="s">
        <v>987</v>
      </c>
      <c r="C155" s="1" t="s">
        <v>19</v>
      </c>
      <c r="D155" s="1" t="s">
        <v>1231</v>
      </c>
      <c r="E155" s="1" t="s">
        <v>1231</v>
      </c>
      <c r="F155" s="1" t="s">
        <v>1232</v>
      </c>
      <c r="G155" s="1" t="s">
        <v>22</v>
      </c>
      <c r="H155" s="1" t="s">
        <v>1233</v>
      </c>
      <c r="I155" s="3" t="b">
        <f aca="false">FALSE()</f>
        <v>0</v>
      </c>
      <c r="J155" s="1" t="s">
        <v>1234</v>
      </c>
      <c r="K155" s="1" t="s">
        <v>293</v>
      </c>
      <c r="L155" s="1" t="s">
        <v>853</v>
      </c>
      <c r="M155" s="1" t="s">
        <v>1235</v>
      </c>
      <c r="N155" s="1" t="s">
        <v>216</v>
      </c>
      <c r="O155" s="1" t="s">
        <v>120</v>
      </c>
      <c r="P155" s="1" t="s">
        <v>181</v>
      </c>
      <c r="Q155" s="1" t="s">
        <v>1236</v>
      </c>
    </row>
    <row r="156" customFormat="false" ht="12.8" hidden="false" customHeight="false" outlineLevel="0" collapsed="false">
      <c r="A156" s="1" t="s">
        <v>17</v>
      </c>
      <c r="B156" s="1" t="s">
        <v>987</v>
      </c>
      <c r="C156" s="1" t="s">
        <v>19</v>
      </c>
      <c r="D156" s="1" t="s">
        <v>1237</v>
      </c>
      <c r="E156" s="1" t="s">
        <v>1237</v>
      </c>
      <c r="F156" s="1" t="s">
        <v>1238</v>
      </c>
      <c r="G156" s="1" t="s">
        <v>22</v>
      </c>
      <c r="H156" s="1" t="s">
        <v>1239</v>
      </c>
      <c r="I156" s="3" t="b">
        <f aca="false">FALSE()</f>
        <v>0</v>
      </c>
      <c r="J156" s="1" t="s">
        <v>1240</v>
      </c>
      <c r="K156" s="1" t="s">
        <v>197</v>
      </c>
      <c r="L156" s="1" t="s">
        <v>1241</v>
      </c>
      <c r="M156" s="1" t="s">
        <v>1242</v>
      </c>
      <c r="N156" s="1" t="s">
        <v>1243</v>
      </c>
      <c r="O156" s="1" t="s">
        <v>119</v>
      </c>
      <c r="P156" s="1" t="s">
        <v>270</v>
      </c>
      <c r="Q156" s="1" t="s">
        <v>1244</v>
      </c>
    </row>
    <row r="157" customFormat="false" ht="12.8" hidden="false" customHeight="false" outlineLevel="0" collapsed="false">
      <c r="A157" s="1" t="s">
        <v>17</v>
      </c>
      <c r="B157" s="1" t="s">
        <v>987</v>
      </c>
      <c r="C157" s="1" t="s">
        <v>19</v>
      </c>
      <c r="D157" s="1" t="s">
        <v>1245</v>
      </c>
      <c r="E157" s="1" t="s">
        <v>1245</v>
      </c>
      <c r="F157" s="1" t="s">
        <v>1246</v>
      </c>
      <c r="G157" s="1" t="s">
        <v>22</v>
      </c>
      <c r="H157" s="1" t="s">
        <v>1247</v>
      </c>
      <c r="I157" s="3" t="b">
        <f aca="false">FALSE()</f>
        <v>0</v>
      </c>
      <c r="J157" s="1" t="s">
        <v>1248</v>
      </c>
      <c r="K157" s="1" t="s">
        <v>365</v>
      </c>
      <c r="L157" s="1" t="s">
        <v>992</v>
      </c>
      <c r="M157" s="1" t="s">
        <v>1249</v>
      </c>
      <c r="N157" s="1" t="s">
        <v>208</v>
      </c>
      <c r="O157" s="1" t="s">
        <v>63</v>
      </c>
      <c r="P157" s="1" t="s">
        <v>1173</v>
      </c>
      <c r="Q157" s="1" t="s">
        <v>1250</v>
      </c>
    </row>
    <row r="158" customFormat="false" ht="12.8" hidden="false" customHeight="false" outlineLevel="0" collapsed="false">
      <c r="A158" s="1" t="s">
        <v>17</v>
      </c>
      <c r="B158" s="1" t="s">
        <v>987</v>
      </c>
      <c r="C158" s="1" t="s">
        <v>19</v>
      </c>
      <c r="D158" s="1" t="s">
        <v>1251</v>
      </c>
      <c r="E158" s="1" t="s">
        <v>1251</v>
      </c>
      <c r="F158" s="1" t="s">
        <v>1252</v>
      </c>
      <c r="G158" s="1" t="s">
        <v>22</v>
      </c>
      <c r="H158" s="1" t="s">
        <v>1253</v>
      </c>
      <c r="I158" s="3" t="b">
        <f aca="false">FALSE()</f>
        <v>0</v>
      </c>
      <c r="J158" s="1" t="s">
        <v>1254</v>
      </c>
      <c r="K158" s="1" t="s">
        <v>197</v>
      </c>
      <c r="L158" s="1" t="s">
        <v>992</v>
      </c>
      <c r="M158" s="1" t="s">
        <v>1255</v>
      </c>
      <c r="N158" s="1" t="s">
        <v>1256</v>
      </c>
      <c r="O158" s="1" t="s">
        <v>625</v>
      </c>
      <c r="P158" s="1" t="s">
        <v>1016</v>
      </c>
      <c r="Q158" s="1" t="s">
        <v>1257</v>
      </c>
    </row>
    <row r="159" customFormat="false" ht="12.8" hidden="false" customHeight="false" outlineLevel="0" collapsed="false">
      <c r="A159" s="1" t="s">
        <v>17</v>
      </c>
      <c r="B159" s="1" t="s">
        <v>987</v>
      </c>
      <c r="C159" s="1" t="s">
        <v>19</v>
      </c>
      <c r="D159" s="1" t="s">
        <v>1258</v>
      </c>
      <c r="E159" s="1" t="s">
        <v>1258</v>
      </c>
      <c r="F159" s="1" t="s">
        <v>1259</v>
      </c>
      <c r="G159" s="1" t="s">
        <v>22</v>
      </c>
      <c r="H159" s="1" t="s">
        <v>1260</v>
      </c>
      <c r="I159" s="3" t="b">
        <f aca="false">FALSE()</f>
        <v>0</v>
      </c>
      <c r="J159" s="1" t="s">
        <v>1261</v>
      </c>
      <c r="K159" s="1" t="s">
        <v>126</v>
      </c>
      <c r="L159" s="1" t="s">
        <v>158</v>
      </c>
      <c r="M159" s="1" t="s">
        <v>1262</v>
      </c>
      <c r="N159" s="1" t="s">
        <v>408</v>
      </c>
      <c r="O159" s="1" t="s">
        <v>534</v>
      </c>
      <c r="P159" s="1" t="s">
        <v>1263</v>
      </c>
      <c r="Q159" s="1" t="s">
        <v>1264</v>
      </c>
    </row>
    <row r="160" customFormat="false" ht="12.8" hidden="false" customHeight="false" outlineLevel="0" collapsed="false">
      <c r="A160" s="1" t="s">
        <v>17</v>
      </c>
      <c r="B160" s="1" t="s">
        <v>987</v>
      </c>
      <c r="C160" s="1" t="s">
        <v>19</v>
      </c>
      <c r="D160" s="1" t="s">
        <v>1265</v>
      </c>
      <c r="E160" s="1" t="s">
        <v>1265</v>
      </c>
      <c r="F160" s="1" t="s">
        <v>1266</v>
      </c>
      <c r="G160" s="1" t="s">
        <v>22</v>
      </c>
      <c r="H160" s="1" t="s">
        <v>1267</v>
      </c>
      <c r="I160" s="3" t="b">
        <f aca="false">FALSE()</f>
        <v>0</v>
      </c>
      <c r="J160" s="1" t="s">
        <v>1268</v>
      </c>
      <c r="K160" s="1" t="s">
        <v>25</v>
      </c>
      <c r="L160" s="1" t="s">
        <v>1062</v>
      </c>
      <c r="M160" s="1" t="s">
        <v>1269</v>
      </c>
      <c r="N160" s="1" t="s">
        <v>1270</v>
      </c>
      <c r="O160" s="1" t="s">
        <v>377</v>
      </c>
      <c r="P160" s="1" t="s">
        <v>131</v>
      </c>
      <c r="Q160" s="1" t="s">
        <v>1271</v>
      </c>
    </row>
    <row r="161" customFormat="false" ht="12.8" hidden="false" customHeight="false" outlineLevel="0" collapsed="false">
      <c r="A161" s="1" t="s">
        <v>17</v>
      </c>
      <c r="B161" s="1" t="s">
        <v>987</v>
      </c>
      <c r="C161" s="1" t="s">
        <v>19</v>
      </c>
      <c r="D161" s="1" t="s">
        <v>1272</v>
      </c>
      <c r="E161" s="1" t="s">
        <v>1272</v>
      </c>
      <c r="F161" s="1" t="s">
        <v>1273</v>
      </c>
      <c r="G161" s="1" t="s">
        <v>22</v>
      </c>
      <c r="H161" s="1" t="s">
        <v>1274</v>
      </c>
      <c r="I161" s="3" t="b">
        <f aca="false">FALSE()</f>
        <v>0</v>
      </c>
      <c r="J161" s="1" t="s">
        <v>1275</v>
      </c>
      <c r="K161" s="1" t="s">
        <v>239</v>
      </c>
      <c r="L161" s="1" t="s">
        <v>1276</v>
      </c>
      <c r="M161" s="1" t="s">
        <v>1277</v>
      </c>
      <c r="N161" s="1" t="s">
        <v>208</v>
      </c>
      <c r="O161" s="1" t="s">
        <v>617</v>
      </c>
      <c r="P161" s="1" t="s">
        <v>969</v>
      </c>
      <c r="Q161" s="1" t="s">
        <v>1278</v>
      </c>
    </row>
    <row r="162" customFormat="false" ht="12.8" hidden="false" customHeight="false" outlineLevel="0" collapsed="false">
      <c r="A162" s="1" t="s">
        <v>17</v>
      </c>
      <c r="B162" s="1" t="s">
        <v>987</v>
      </c>
      <c r="C162" s="1" t="s">
        <v>19</v>
      </c>
      <c r="D162" s="1" t="s">
        <v>1279</v>
      </c>
      <c r="E162" s="1" t="s">
        <v>1279</v>
      </c>
      <c r="F162" s="1" t="s">
        <v>1280</v>
      </c>
      <c r="G162" s="1" t="s">
        <v>22</v>
      </c>
      <c r="H162" s="1" t="s">
        <v>1281</v>
      </c>
      <c r="I162" s="3" t="b">
        <f aca="false">FALSE()</f>
        <v>0</v>
      </c>
      <c r="J162" s="1" t="s">
        <v>1282</v>
      </c>
      <c r="K162" s="1" t="s">
        <v>1283</v>
      </c>
      <c r="L162" s="1" t="s">
        <v>1284</v>
      </c>
      <c r="M162" s="1" t="s">
        <v>1285</v>
      </c>
      <c r="N162" s="1" t="s">
        <v>108</v>
      </c>
      <c r="O162" s="1" t="s">
        <v>108</v>
      </c>
      <c r="P162" s="1" t="s">
        <v>130</v>
      </c>
      <c r="Q162" s="1" t="s">
        <v>1286</v>
      </c>
    </row>
    <row r="163" customFormat="false" ht="12.8" hidden="false" customHeight="false" outlineLevel="0" collapsed="false">
      <c r="A163" s="1" t="s">
        <v>17</v>
      </c>
      <c r="B163" s="1" t="s">
        <v>987</v>
      </c>
      <c r="C163" s="1" t="s">
        <v>19</v>
      </c>
      <c r="D163" s="1" t="s">
        <v>1287</v>
      </c>
      <c r="E163" s="1" t="s">
        <v>1287</v>
      </c>
      <c r="F163" s="1" t="s">
        <v>1288</v>
      </c>
      <c r="G163" s="1" t="s">
        <v>35</v>
      </c>
      <c r="H163" s="1" t="s">
        <v>1289</v>
      </c>
      <c r="I163" s="3" t="b">
        <f aca="false">FALSE()</f>
        <v>0</v>
      </c>
      <c r="J163" s="1" t="s">
        <v>1290</v>
      </c>
      <c r="K163" s="1" t="s">
        <v>77</v>
      </c>
      <c r="L163" s="1" t="s">
        <v>922</v>
      </c>
      <c r="M163" s="1" t="s">
        <v>1291</v>
      </c>
      <c r="N163" s="1" t="s">
        <v>902</v>
      </c>
      <c r="O163" s="1" t="s">
        <v>242</v>
      </c>
      <c r="P163" s="1" t="s">
        <v>43</v>
      </c>
      <c r="Q163" s="1" t="s">
        <v>1292</v>
      </c>
    </row>
    <row r="164" customFormat="false" ht="12.8" hidden="false" customHeight="false" outlineLevel="0" collapsed="false">
      <c r="A164" s="1" t="s">
        <v>17</v>
      </c>
      <c r="B164" s="1" t="s">
        <v>987</v>
      </c>
      <c r="C164" s="1" t="s">
        <v>19</v>
      </c>
      <c r="D164" s="1" t="s">
        <v>1293</v>
      </c>
      <c r="E164" s="1" t="s">
        <v>1293</v>
      </c>
      <c r="F164" s="1" t="s">
        <v>1294</v>
      </c>
      <c r="G164" s="1" t="s">
        <v>22</v>
      </c>
      <c r="H164" s="1" t="s">
        <v>1295</v>
      </c>
      <c r="I164" s="3" t="b">
        <f aca="false">FALSE()</f>
        <v>0</v>
      </c>
      <c r="J164" s="1" t="s">
        <v>1296</v>
      </c>
      <c r="K164" s="1" t="s">
        <v>126</v>
      </c>
      <c r="L164" s="1" t="s">
        <v>390</v>
      </c>
      <c r="M164" s="1" t="s">
        <v>1297</v>
      </c>
      <c r="N164" s="1" t="s">
        <v>902</v>
      </c>
      <c r="O164" s="1" t="s">
        <v>369</v>
      </c>
      <c r="P164" s="1" t="s">
        <v>252</v>
      </c>
      <c r="Q164" s="1" t="s">
        <v>1298</v>
      </c>
    </row>
    <row r="165" customFormat="false" ht="12.8" hidden="false" customHeight="false" outlineLevel="0" collapsed="false">
      <c r="A165" s="1" t="s">
        <v>17</v>
      </c>
      <c r="B165" s="1" t="s">
        <v>987</v>
      </c>
      <c r="C165" s="1" t="s">
        <v>19</v>
      </c>
      <c r="D165" s="1" t="s">
        <v>1299</v>
      </c>
      <c r="E165" s="1" t="s">
        <v>1299</v>
      </c>
      <c r="F165" s="1" t="s">
        <v>1300</v>
      </c>
      <c r="G165" s="1" t="s">
        <v>22</v>
      </c>
      <c r="H165" s="1" t="s">
        <v>1301</v>
      </c>
      <c r="I165" s="3" t="b">
        <f aca="false">FALSE()</f>
        <v>0</v>
      </c>
      <c r="J165" s="1" t="s">
        <v>1302</v>
      </c>
      <c r="K165" s="1" t="s">
        <v>197</v>
      </c>
      <c r="L165" s="1" t="s">
        <v>1303</v>
      </c>
      <c r="M165" s="1" t="s">
        <v>1304</v>
      </c>
      <c r="N165" s="1" t="s">
        <v>518</v>
      </c>
      <c r="O165" s="1" t="s">
        <v>342</v>
      </c>
      <c r="P165" s="1" t="s">
        <v>601</v>
      </c>
      <c r="Q165" s="1" t="s">
        <v>1305</v>
      </c>
    </row>
    <row r="166" customFormat="false" ht="12.8" hidden="false" customHeight="false" outlineLevel="0" collapsed="false">
      <c r="A166" s="1" t="s">
        <v>17</v>
      </c>
      <c r="B166" s="1" t="s">
        <v>987</v>
      </c>
      <c r="C166" s="1" t="s">
        <v>19</v>
      </c>
      <c r="D166" s="1" t="s">
        <v>1306</v>
      </c>
      <c r="E166" s="1" t="s">
        <v>1306</v>
      </c>
      <c r="F166" s="1" t="s">
        <v>1307</v>
      </c>
      <c r="G166" s="1" t="s">
        <v>22</v>
      </c>
      <c r="H166" s="1" t="s">
        <v>1308</v>
      </c>
      <c r="I166" s="3" t="b">
        <f aca="false">FALSE()</f>
        <v>0</v>
      </c>
      <c r="J166" s="1" t="s">
        <v>1309</v>
      </c>
      <c r="K166" s="1" t="s">
        <v>137</v>
      </c>
      <c r="L166" s="1" t="s">
        <v>1310</v>
      </c>
      <c r="M166" s="1" t="s">
        <v>1311</v>
      </c>
      <c r="N166" s="1" t="s">
        <v>1312</v>
      </c>
      <c r="O166" s="1" t="s">
        <v>1313</v>
      </c>
      <c r="P166" s="1" t="s">
        <v>747</v>
      </c>
      <c r="Q166" s="1" t="s">
        <v>1314</v>
      </c>
    </row>
    <row r="167" customFormat="false" ht="12.8" hidden="false" customHeight="false" outlineLevel="0" collapsed="false">
      <c r="A167" s="1" t="s">
        <v>17</v>
      </c>
      <c r="B167" s="1" t="s">
        <v>987</v>
      </c>
      <c r="C167" s="1" t="s">
        <v>19</v>
      </c>
      <c r="D167" s="1" t="s">
        <v>1315</v>
      </c>
      <c r="E167" s="1" t="s">
        <v>1315</v>
      </c>
      <c r="F167" s="1" t="s">
        <v>1316</v>
      </c>
      <c r="G167" s="1" t="s">
        <v>22</v>
      </c>
      <c r="H167" s="1" t="s">
        <v>1317</v>
      </c>
      <c r="I167" s="3" t="b">
        <f aca="false">FALSE()</f>
        <v>0</v>
      </c>
      <c r="J167" s="1" t="s">
        <v>1318</v>
      </c>
      <c r="K167" s="1" t="s">
        <v>197</v>
      </c>
      <c r="L167" s="1" t="s">
        <v>1319</v>
      </c>
      <c r="M167" s="1" t="s">
        <v>1320</v>
      </c>
      <c r="N167" s="1" t="s">
        <v>1321</v>
      </c>
      <c r="O167" s="1" t="s">
        <v>342</v>
      </c>
      <c r="P167" s="1" t="s">
        <v>181</v>
      </c>
      <c r="Q167" s="1" t="s">
        <v>1322</v>
      </c>
    </row>
    <row r="168" customFormat="false" ht="12.8" hidden="false" customHeight="false" outlineLevel="0" collapsed="false">
      <c r="A168" s="1" t="s">
        <v>17</v>
      </c>
      <c r="B168" s="1" t="s">
        <v>987</v>
      </c>
      <c r="C168" s="1" t="s">
        <v>19</v>
      </c>
      <c r="D168" s="1" t="s">
        <v>1323</v>
      </c>
      <c r="E168" s="1" t="s">
        <v>1323</v>
      </c>
      <c r="F168" s="1" t="s">
        <v>1324</v>
      </c>
      <c r="G168" s="1" t="s">
        <v>22</v>
      </c>
      <c r="H168" s="1" t="s">
        <v>1325</v>
      </c>
      <c r="I168" s="3" t="b">
        <f aca="false">FALSE()</f>
        <v>0</v>
      </c>
      <c r="J168" s="1" t="s">
        <v>1326</v>
      </c>
      <c r="K168" s="1" t="s">
        <v>25</v>
      </c>
      <c r="L168" s="1" t="s">
        <v>333</v>
      </c>
      <c r="M168" s="1" t="s">
        <v>1327</v>
      </c>
      <c r="N168" s="1" t="s">
        <v>1328</v>
      </c>
      <c r="O168" s="1" t="s">
        <v>63</v>
      </c>
      <c r="P168" s="1" t="s">
        <v>601</v>
      </c>
      <c r="Q168" s="1" t="s">
        <v>1329</v>
      </c>
    </row>
    <row r="169" customFormat="false" ht="12.8" hidden="false" customHeight="false" outlineLevel="0" collapsed="false">
      <c r="A169" s="1" t="s">
        <v>17</v>
      </c>
      <c r="B169" s="1" t="s">
        <v>987</v>
      </c>
      <c r="C169" s="1" t="s">
        <v>19</v>
      </c>
      <c r="D169" s="1" t="s">
        <v>1330</v>
      </c>
      <c r="E169" s="1" t="s">
        <v>1330</v>
      </c>
      <c r="F169" s="1" t="s">
        <v>1331</v>
      </c>
      <c r="G169" s="1" t="s">
        <v>22</v>
      </c>
      <c r="H169" s="1" t="s">
        <v>1332</v>
      </c>
      <c r="I169" s="3" t="b">
        <f aca="false">FALSE()</f>
        <v>0</v>
      </c>
      <c r="J169" s="1" t="s">
        <v>1333</v>
      </c>
      <c r="K169" s="1" t="s">
        <v>137</v>
      </c>
      <c r="L169" s="1" t="s">
        <v>1334</v>
      </c>
      <c r="M169" s="1" t="s">
        <v>1335</v>
      </c>
      <c r="N169" s="1" t="s">
        <v>561</v>
      </c>
      <c r="O169" s="1" t="s">
        <v>902</v>
      </c>
      <c r="P169" s="1" t="s">
        <v>252</v>
      </c>
      <c r="Q169" s="1" t="s">
        <v>1336</v>
      </c>
    </row>
    <row r="170" customFormat="false" ht="12.8" hidden="false" customHeight="false" outlineLevel="0" collapsed="false">
      <c r="A170" s="1" t="s">
        <v>17</v>
      </c>
      <c r="B170" s="1" t="s">
        <v>987</v>
      </c>
      <c r="C170" s="1" t="s">
        <v>19</v>
      </c>
      <c r="D170" s="1" t="s">
        <v>1337</v>
      </c>
      <c r="E170" s="1" t="s">
        <v>1337</v>
      </c>
      <c r="F170" s="1" t="s">
        <v>1338</v>
      </c>
      <c r="G170" s="1" t="s">
        <v>22</v>
      </c>
      <c r="H170" s="1" t="s">
        <v>1339</v>
      </c>
      <c r="I170" s="3" t="b">
        <f aca="false">FALSE()</f>
        <v>0</v>
      </c>
      <c r="J170" s="1" t="s">
        <v>1340</v>
      </c>
      <c r="K170" s="1" t="s">
        <v>176</v>
      </c>
      <c r="L170" s="1" t="s">
        <v>1341</v>
      </c>
      <c r="M170" s="1" t="s">
        <v>1342</v>
      </c>
      <c r="N170" s="1" t="s">
        <v>1343</v>
      </c>
      <c r="O170" s="1" t="s">
        <v>1344</v>
      </c>
      <c r="P170" s="1" t="s">
        <v>270</v>
      </c>
      <c r="Q170" s="1" t="s">
        <v>1345</v>
      </c>
    </row>
    <row r="171" customFormat="false" ht="12.8" hidden="false" customHeight="false" outlineLevel="0" collapsed="false">
      <c r="A171" s="1" t="s">
        <v>17</v>
      </c>
      <c r="B171" s="1" t="s">
        <v>987</v>
      </c>
      <c r="C171" s="1" t="s">
        <v>19</v>
      </c>
      <c r="D171" s="1" t="s">
        <v>1346</v>
      </c>
      <c r="E171" s="1" t="s">
        <v>1346</v>
      </c>
      <c r="F171" s="1" t="s">
        <v>1347</v>
      </c>
      <c r="G171" s="1" t="s">
        <v>22</v>
      </c>
      <c r="H171" s="1" t="s">
        <v>1348</v>
      </c>
      <c r="I171" s="3" t="b">
        <f aca="false">FALSE()</f>
        <v>0</v>
      </c>
      <c r="J171" s="1" t="s">
        <v>1349</v>
      </c>
      <c r="K171" s="1" t="s">
        <v>25</v>
      </c>
      <c r="L171" s="1" t="s">
        <v>639</v>
      </c>
      <c r="M171" s="1" t="s">
        <v>1350</v>
      </c>
      <c r="N171" s="1" t="s">
        <v>747</v>
      </c>
      <c r="O171" s="1" t="s">
        <v>443</v>
      </c>
      <c r="P171" s="1" t="s">
        <v>30</v>
      </c>
      <c r="Q171" s="1" t="s">
        <v>1351</v>
      </c>
    </row>
    <row r="172" customFormat="false" ht="12.8" hidden="false" customHeight="false" outlineLevel="0" collapsed="false">
      <c r="A172" s="1" t="s">
        <v>17</v>
      </c>
      <c r="B172" s="1" t="s">
        <v>987</v>
      </c>
      <c r="C172" s="1" t="s">
        <v>19</v>
      </c>
      <c r="D172" s="1" t="s">
        <v>1352</v>
      </c>
      <c r="E172" s="1" t="s">
        <v>1352</v>
      </c>
      <c r="F172" s="1" t="s">
        <v>1353</v>
      </c>
      <c r="G172" s="1" t="s">
        <v>22</v>
      </c>
      <c r="H172" s="1" t="s">
        <v>1354</v>
      </c>
      <c r="I172" s="3" t="b">
        <f aca="false">FALSE()</f>
        <v>0</v>
      </c>
      <c r="J172" s="1" t="s">
        <v>1355</v>
      </c>
      <c r="K172" s="1" t="s">
        <v>126</v>
      </c>
      <c r="L172" s="1" t="s">
        <v>1356</v>
      </c>
      <c r="M172" s="1" t="s">
        <v>1357</v>
      </c>
      <c r="N172" s="1" t="s">
        <v>1358</v>
      </c>
      <c r="O172" s="1" t="s">
        <v>1359</v>
      </c>
      <c r="P172" s="1" t="s">
        <v>30</v>
      </c>
      <c r="Q172" s="1" t="s">
        <v>1360</v>
      </c>
    </row>
    <row r="173" customFormat="false" ht="12.8" hidden="false" customHeight="false" outlineLevel="0" collapsed="false">
      <c r="A173" s="1" t="s">
        <v>17</v>
      </c>
      <c r="B173" s="1" t="s">
        <v>987</v>
      </c>
      <c r="C173" s="1" t="s">
        <v>19</v>
      </c>
      <c r="D173" s="1" t="s">
        <v>1361</v>
      </c>
      <c r="E173" s="1" t="s">
        <v>1361</v>
      </c>
      <c r="F173" s="1" t="s">
        <v>1362</v>
      </c>
      <c r="G173" s="1" t="s">
        <v>22</v>
      </c>
      <c r="H173" s="1" t="s">
        <v>1363</v>
      </c>
      <c r="I173" s="3" t="b">
        <f aca="false">FALSE()</f>
        <v>0</v>
      </c>
      <c r="J173" s="1" t="s">
        <v>1364</v>
      </c>
      <c r="K173" s="1" t="s">
        <v>137</v>
      </c>
      <c r="L173" s="1" t="s">
        <v>1365</v>
      </c>
      <c r="M173" s="1" t="s">
        <v>1366</v>
      </c>
      <c r="N173" s="1" t="s">
        <v>63</v>
      </c>
      <c r="O173" s="1" t="s">
        <v>562</v>
      </c>
      <c r="P173" s="1" t="s">
        <v>252</v>
      </c>
      <c r="Q173" s="1" t="s">
        <v>1367</v>
      </c>
    </row>
    <row r="174" customFormat="false" ht="12.8" hidden="false" customHeight="false" outlineLevel="0" collapsed="false">
      <c r="A174" s="1" t="s">
        <v>17</v>
      </c>
      <c r="B174" s="1" t="s">
        <v>987</v>
      </c>
      <c r="C174" s="1" t="s">
        <v>19</v>
      </c>
      <c r="D174" s="1" t="s">
        <v>1368</v>
      </c>
      <c r="E174" s="1" t="s">
        <v>1368</v>
      </c>
      <c r="F174" s="1" t="s">
        <v>1369</v>
      </c>
      <c r="G174" s="1" t="s">
        <v>22</v>
      </c>
      <c r="H174" s="1" t="s">
        <v>1370</v>
      </c>
      <c r="I174" s="3" t="b">
        <f aca="false">FALSE()</f>
        <v>0</v>
      </c>
      <c r="J174" s="1" t="s">
        <v>1371</v>
      </c>
      <c r="K174" s="1" t="s">
        <v>137</v>
      </c>
      <c r="L174" s="1" t="s">
        <v>1372</v>
      </c>
      <c r="M174" s="1" t="s">
        <v>1373</v>
      </c>
      <c r="N174" s="1" t="s">
        <v>1374</v>
      </c>
      <c r="O174" s="1" t="s">
        <v>1270</v>
      </c>
      <c r="P174" s="1" t="s">
        <v>252</v>
      </c>
      <c r="Q174" s="1" t="s">
        <v>1375</v>
      </c>
    </row>
    <row r="175" customFormat="false" ht="12.8" hidden="false" customHeight="false" outlineLevel="0" collapsed="false">
      <c r="A175" s="1" t="s">
        <v>17</v>
      </c>
      <c r="B175" s="1" t="s">
        <v>987</v>
      </c>
      <c r="C175" s="1" t="s">
        <v>19</v>
      </c>
      <c r="D175" s="1" t="s">
        <v>1376</v>
      </c>
      <c r="E175" s="1" t="s">
        <v>1376</v>
      </c>
      <c r="F175" s="1" t="s">
        <v>1377</v>
      </c>
      <c r="G175" s="1" t="s">
        <v>22</v>
      </c>
      <c r="H175" s="1" t="s">
        <v>1378</v>
      </c>
      <c r="I175" s="3" t="b">
        <f aca="false">FALSE()</f>
        <v>0</v>
      </c>
      <c r="J175" s="1" t="s">
        <v>1379</v>
      </c>
      <c r="K175" s="1" t="s">
        <v>25</v>
      </c>
      <c r="L175" s="1" t="s">
        <v>1098</v>
      </c>
      <c r="M175" s="1" t="s">
        <v>1380</v>
      </c>
      <c r="N175" s="1" t="s">
        <v>470</v>
      </c>
      <c r="O175" s="1" t="s">
        <v>518</v>
      </c>
      <c r="P175" s="1" t="s">
        <v>601</v>
      </c>
      <c r="Q175" s="1" t="s">
        <v>1381</v>
      </c>
    </row>
    <row r="176" customFormat="false" ht="12.8" hidden="false" customHeight="false" outlineLevel="0" collapsed="false">
      <c r="A176" s="1" t="s">
        <v>17</v>
      </c>
      <c r="B176" s="1" t="s">
        <v>987</v>
      </c>
      <c r="C176" s="1" t="s">
        <v>19</v>
      </c>
      <c r="D176" s="1" t="s">
        <v>1382</v>
      </c>
      <c r="E176" s="1" t="s">
        <v>1382</v>
      </c>
      <c r="F176" s="1" t="s">
        <v>1383</v>
      </c>
      <c r="G176" s="1" t="s">
        <v>22</v>
      </c>
      <c r="H176" s="1" t="s">
        <v>1384</v>
      </c>
      <c r="I176" s="3" t="b">
        <f aca="false">FALSE()</f>
        <v>0</v>
      </c>
      <c r="J176" s="1" t="s">
        <v>1385</v>
      </c>
      <c r="K176" s="1" t="s">
        <v>25</v>
      </c>
      <c r="L176" s="1" t="s">
        <v>1386</v>
      </c>
      <c r="M176" s="1" t="s">
        <v>1387</v>
      </c>
      <c r="N176" s="1" t="s">
        <v>1388</v>
      </c>
      <c r="O176" s="1" t="s">
        <v>561</v>
      </c>
      <c r="P176" s="1" t="s">
        <v>261</v>
      </c>
      <c r="Q176" s="1" t="s">
        <v>1389</v>
      </c>
    </row>
    <row r="177" customFormat="false" ht="12.8" hidden="false" customHeight="false" outlineLevel="0" collapsed="false">
      <c r="A177" s="1" t="s">
        <v>17</v>
      </c>
      <c r="B177" s="1" t="s">
        <v>987</v>
      </c>
      <c r="C177" s="1" t="s">
        <v>19</v>
      </c>
      <c r="D177" s="1" t="s">
        <v>1390</v>
      </c>
      <c r="E177" s="1" t="s">
        <v>1390</v>
      </c>
      <c r="F177" s="1" t="s">
        <v>1391</v>
      </c>
      <c r="G177" s="1" t="s">
        <v>22</v>
      </c>
      <c r="H177" s="1" t="s">
        <v>1392</v>
      </c>
      <c r="I177" s="3" t="b">
        <f aca="false">FALSE()</f>
        <v>0</v>
      </c>
      <c r="J177" s="1" t="s">
        <v>1393</v>
      </c>
      <c r="K177" s="1" t="s">
        <v>25</v>
      </c>
      <c r="L177" s="1" t="s">
        <v>1069</v>
      </c>
      <c r="M177" s="1" t="s">
        <v>1394</v>
      </c>
      <c r="N177" s="1" t="s">
        <v>1395</v>
      </c>
      <c r="O177" s="1" t="s">
        <v>509</v>
      </c>
      <c r="P177" s="1" t="s">
        <v>252</v>
      </c>
      <c r="Q177" s="1" t="s">
        <v>1396</v>
      </c>
    </row>
    <row r="178" customFormat="false" ht="12.8" hidden="false" customHeight="false" outlineLevel="0" collapsed="false">
      <c r="A178" s="1" t="s">
        <v>17</v>
      </c>
      <c r="B178" s="1" t="s">
        <v>987</v>
      </c>
      <c r="C178" s="1" t="s">
        <v>19</v>
      </c>
      <c r="D178" s="1" t="s">
        <v>1397</v>
      </c>
      <c r="E178" s="1" t="s">
        <v>1397</v>
      </c>
      <c r="F178" s="1" t="s">
        <v>1398</v>
      </c>
      <c r="G178" s="1" t="s">
        <v>22</v>
      </c>
      <c r="H178" s="1" t="s">
        <v>1399</v>
      </c>
      <c r="I178" s="3" t="b">
        <f aca="false">FALSE()</f>
        <v>0</v>
      </c>
      <c r="J178" s="1" t="s">
        <v>1400</v>
      </c>
      <c r="K178" s="1" t="s">
        <v>137</v>
      </c>
      <c r="L178" s="1" t="s">
        <v>1401</v>
      </c>
      <c r="M178" s="1" t="s">
        <v>1402</v>
      </c>
      <c r="N178" s="1" t="s">
        <v>747</v>
      </c>
      <c r="O178" s="1" t="s">
        <v>895</v>
      </c>
      <c r="P178" s="1" t="s">
        <v>181</v>
      </c>
      <c r="Q178" s="1" t="s">
        <v>1403</v>
      </c>
    </row>
    <row r="179" customFormat="false" ht="12.8" hidden="false" customHeight="false" outlineLevel="0" collapsed="false">
      <c r="A179" s="1" t="s">
        <v>17</v>
      </c>
      <c r="B179" s="1" t="s">
        <v>987</v>
      </c>
      <c r="C179" s="1" t="s">
        <v>19</v>
      </c>
      <c r="D179" s="1" t="s">
        <v>1404</v>
      </c>
      <c r="E179" s="1" t="s">
        <v>1404</v>
      </c>
      <c r="F179" s="1" t="s">
        <v>1405</v>
      </c>
      <c r="G179" s="1" t="s">
        <v>22</v>
      </c>
      <c r="H179" s="1" t="s">
        <v>1406</v>
      </c>
      <c r="I179" s="3" t="b">
        <f aca="false">FALSE()</f>
        <v>0</v>
      </c>
      <c r="J179" s="1" t="s">
        <v>1407</v>
      </c>
      <c r="K179" s="1" t="s">
        <v>147</v>
      </c>
      <c r="L179" s="1" t="s">
        <v>1408</v>
      </c>
      <c r="M179" s="1" t="s">
        <v>1409</v>
      </c>
      <c r="N179" s="1" t="s">
        <v>1321</v>
      </c>
      <c r="O179" s="1" t="s">
        <v>342</v>
      </c>
      <c r="P179" s="1" t="s">
        <v>131</v>
      </c>
      <c r="Q179" s="1" t="s">
        <v>1410</v>
      </c>
    </row>
    <row r="180" customFormat="false" ht="12.8" hidden="false" customHeight="false" outlineLevel="0" collapsed="false">
      <c r="A180" s="1" t="s">
        <v>17</v>
      </c>
      <c r="B180" s="1" t="s">
        <v>987</v>
      </c>
      <c r="C180" s="1" t="s">
        <v>19</v>
      </c>
      <c r="D180" s="1" t="s">
        <v>1411</v>
      </c>
      <c r="E180" s="1" t="s">
        <v>1411</v>
      </c>
      <c r="F180" s="1" t="s">
        <v>1412</v>
      </c>
      <c r="G180" s="1" t="s">
        <v>22</v>
      </c>
      <c r="H180" s="1" t="s">
        <v>1413</v>
      </c>
      <c r="I180" s="3" t="b">
        <f aca="false">FALSE()</f>
        <v>0</v>
      </c>
      <c r="J180" s="1" t="s">
        <v>1414</v>
      </c>
      <c r="K180" s="1" t="s">
        <v>25</v>
      </c>
      <c r="L180" s="1" t="s">
        <v>1069</v>
      </c>
      <c r="M180" s="1" t="s">
        <v>1415</v>
      </c>
      <c r="N180" s="1" t="s">
        <v>1416</v>
      </c>
      <c r="O180" s="1" t="s">
        <v>118</v>
      </c>
      <c r="P180" s="1" t="s">
        <v>252</v>
      </c>
      <c r="Q180" s="1" t="s">
        <v>1417</v>
      </c>
    </row>
    <row r="181" customFormat="false" ht="12.8" hidden="false" customHeight="false" outlineLevel="0" collapsed="false">
      <c r="A181" s="1" t="s">
        <v>17</v>
      </c>
      <c r="B181" s="1" t="s">
        <v>987</v>
      </c>
      <c r="C181" s="1" t="s">
        <v>19</v>
      </c>
      <c r="D181" s="1" t="s">
        <v>1418</v>
      </c>
      <c r="E181" s="1" t="s">
        <v>1418</v>
      </c>
      <c r="F181" s="1" t="s">
        <v>1419</v>
      </c>
      <c r="G181" s="1" t="s">
        <v>22</v>
      </c>
      <c r="H181" s="1" t="s">
        <v>1420</v>
      </c>
      <c r="I181" s="3" t="b">
        <f aca="false">FALSE()</f>
        <v>0</v>
      </c>
      <c r="J181" s="1" t="s">
        <v>1421</v>
      </c>
      <c r="K181" s="1" t="s">
        <v>147</v>
      </c>
      <c r="L181" s="1" t="s">
        <v>1422</v>
      </c>
      <c r="M181" s="1" t="s">
        <v>1423</v>
      </c>
      <c r="N181" s="1" t="s">
        <v>571</v>
      </c>
      <c r="O181" s="1" t="s">
        <v>130</v>
      </c>
      <c r="P181" s="1" t="s">
        <v>781</v>
      </c>
      <c r="Q181" s="1" t="s">
        <v>1424</v>
      </c>
    </row>
    <row r="182" customFormat="false" ht="12.8" hidden="false" customHeight="false" outlineLevel="0" collapsed="false">
      <c r="A182" s="1" t="s">
        <v>17</v>
      </c>
      <c r="B182" s="1" t="s">
        <v>987</v>
      </c>
      <c r="C182" s="1" t="s">
        <v>19</v>
      </c>
      <c r="D182" s="1" t="s">
        <v>1425</v>
      </c>
      <c r="E182" s="1" t="s">
        <v>1425</v>
      </c>
      <c r="F182" s="1" t="s">
        <v>1426</v>
      </c>
      <c r="G182" s="1" t="s">
        <v>22</v>
      </c>
      <c r="H182" s="1" t="s">
        <v>1427</v>
      </c>
      <c r="I182" s="3" t="b">
        <f aca="false">FALSE()</f>
        <v>0</v>
      </c>
      <c r="J182" s="1" t="s">
        <v>1428</v>
      </c>
      <c r="K182" s="1" t="s">
        <v>147</v>
      </c>
      <c r="L182" s="1" t="s">
        <v>1276</v>
      </c>
      <c r="M182" s="1" t="s">
        <v>1429</v>
      </c>
      <c r="N182" s="1" t="s">
        <v>269</v>
      </c>
      <c r="O182" s="1" t="s">
        <v>242</v>
      </c>
      <c r="P182" s="1" t="s">
        <v>969</v>
      </c>
      <c r="Q182" s="1" t="s">
        <v>1430</v>
      </c>
    </row>
    <row r="183" customFormat="false" ht="12.8" hidden="false" customHeight="false" outlineLevel="0" collapsed="false">
      <c r="A183" s="1" t="s">
        <v>17</v>
      </c>
      <c r="B183" s="1" t="s">
        <v>987</v>
      </c>
      <c r="C183" s="1" t="s">
        <v>19</v>
      </c>
      <c r="D183" s="1" t="s">
        <v>1431</v>
      </c>
      <c r="E183" s="1" t="s">
        <v>1431</v>
      </c>
      <c r="F183" s="1" t="s">
        <v>1432</v>
      </c>
      <c r="G183" s="1" t="s">
        <v>22</v>
      </c>
      <c r="H183" s="1" t="s">
        <v>1433</v>
      </c>
      <c r="I183" s="3" t="b">
        <f aca="false">FALSE()</f>
        <v>0</v>
      </c>
      <c r="J183" s="1" t="s">
        <v>1434</v>
      </c>
      <c r="K183" s="1" t="s">
        <v>137</v>
      </c>
      <c r="L183" s="1" t="s">
        <v>1435</v>
      </c>
      <c r="M183" s="1" t="s">
        <v>1436</v>
      </c>
      <c r="N183" s="1" t="s">
        <v>207</v>
      </c>
      <c r="O183" s="1" t="s">
        <v>351</v>
      </c>
      <c r="P183" s="1" t="s">
        <v>181</v>
      </c>
      <c r="Q183" s="1" t="s">
        <v>1437</v>
      </c>
    </row>
    <row r="184" customFormat="false" ht="12.8" hidden="false" customHeight="false" outlineLevel="0" collapsed="false">
      <c r="A184" s="1" t="s">
        <v>17</v>
      </c>
      <c r="B184" s="1" t="s">
        <v>987</v>
      </c>
      <c r="C184" s="1" t="s">
        <v>19</v>
      </c>
      <c r="D184" s="1" t="s">
        <v>1438</v>
      </c>
      <c r="E184" s="1" t="s">
        <v>1438</v>
      </c>
      <c r="F184" s="1" t="s">
        <v>1439</v>
      </c>
      <c r="G184" s="1" t="s">
        <v>22</v>
      </c>
      <c r="H184" s="1" t="s">
        <v>1440</v>
      </c>
      <c r="I184" s="3" t="b">
        <f aca="false">FALSE()</f>
        <v>0</v>
      </c>
      <c r="J184" s="1" t="s">
        <v>1441</v>
      </c>
      <c r="K184" s="1" t="s">
        <v>147</v>
      </c>
      <c r="L184" s="1" t="s">
        <v>853</v>
      </c>
      <c r="M184" s="1" t="s">
        <v>1442</v>
      </c>
      <c r="N184" s="1" t="s">
        <v>1443</v>
      </c>
      <c r="O184" s="1" t="s">
        <v>561</v>
      </c>
      <c r="P184" s="1" t="s">
        <v>985</v>
      </c>
      <c r="Q184" s="1" t="s">
        <v>1444</v>
      </c>
    </row>
    <row r="185" customFormat="false" ht="12.8" hidden="false" customHeight="false" outlineLevel="0" collapsed="false">
      <c r="A185" s="1" t="s">
        <v>17</v>
      </c>
      <c r="B185" s="1" t="s">
        <v>987</v>
      </c>
      <c r="C185" s="1" t="s">
        <v>19</v>
      </c>
      <c r="D185" s="1" t="s">
        <v>1445</v>
      </c>
      <c r="E185" s="1" t="s">
        <v>1445</v>
      </c>
      <c r="F185" s="1" t="s">
        <v>1446</v>
      </c>
      <c r="G185" s="1" t="s">
        <v>22</v>
      </c>
      <c r="H185" s="1" t="s">
        <v>1447</v>
      </c>
      <c r="I185" s="3" t="b">
        <f aca="false">FALSE()</f>
        <v>0</v>
      </c>
      <c r="J185" s="1" t="s">
        <v>1448</v>
      </c>
      <c r="K185" s="1" t="s">
        <v>147</v>
      </c>
      <c r="L185" s="1" t="s">
        <v>333</v>
      </c>
      <c r="M185" s="1" t="s">
        <v>1449</v>
      </c>
      <c r="N185" s="1" t="s">
        <v>824</v>
      </c>
      <c r="O185" s="1" t="s">
        <v>824</v>
      </c>
      <c r="P185" s="1" t="s">
        <v>1050</v>
      </c>
      <c r="Q185" s="1" t="s">
        <v>1450</v>
      </c>
    </row>
    <row r="186" customFormat="false" ht="12.8" hidden="false" customHeight="false" outlineLevel="0" collapsed="false">
      <c r="A186" s="1" t="s">
        <v>17</v>
      </c>
      <c r="B186" s="1" t="s">
        <v>987</v>
      </c>
      <c r="C186" s="1" t="s">
        <v>19</v>
      </c>
      <c r="D186" s="1" t="s">
        <v>1451</v>
      </c>
      <c r="E186" s="1" t="s">
        <v>1451</v>
      </c>
      <c r="F186" s="1" t="s">
        <v>1452</v>
      </c>
      <c r="G186" s="1" t="s">
        <v>22</v>
      </c>
      <c r="H186" s="1" t="s">
        <v>1453</v>
      </c>
      <c r="I186" s="3" t="b">
        <f aca="false">FALSE()</f>
        <v>0</v>
      </c>
      <c r="J186" s="1" t="s">
        <v>1454</v>
      </c>
      <c r="K186" s="1" t="s">
        <v>197</v>
      </c>
      <c r="L186" s="1" t="s">
        <v>983</v>
      </c>
      <c r="M186" s="1" t="s">
        <v>1455</v>
      </c>
      <c r="N186" s="1" t="s">
        <v>119</v>
      </c>
      <c r="O186" s="1" t="s">
        <v>199</v>
      </c>
      <c r="P186" s="1" t="s">
        <v>209</v>
      </c>
      <c r="Q186" s="1" t="s">
        <v>1456</v>
      </c>
    </row>
    <row r="187" customFormat="false" ht="12.8" hidden="false" customHeight="false" outlineLevel="0" collapsed="false">
      <c r="A187" s="1" t="s">
        <v>17</v>
      </c>
      <c r="B187" s="1" t="s">
        <v>987</v>
      </c>
      <c r="C187" s="1" t="s">
        <v>19</v>
      </c>
      <c r="D187" s="1" t="s">
        <v>1457</v>
      </c>
      <c r="E187" s="1" t="s">
        <v>1457</v>
      </c>
      <c r="F187" s="1" t="s">
        <v>1458</v>
      </c>
      <c r="G187" s="1" t="s">
        <v>22</v>
      </c>
      <c r="H187" s="1" t="s">
        <v>1459</v>
      </c>
      <c r="I187" s="3" t="b">
        <f aca="false">FALSE()</f>
        <v>0</v>
      </c>
      <c r="J187" s="1" t="s">
        <v>1460</v>
      </c>
      <c r="K187" s="1" t="s">
        <v>49</v>
      </c>
      <c r="L187" s="1" t="s">
        <v>892</v>
      </c>
      <c r="M187" s="1" t="s">
        <v>1461</v>
      </c>
      <c r="N187" s="1" t="s">
        <v>119</v>
      </c>
      <c r="O187" s="1" t="s">
        <v>120</v>
      </c>
      <c r="P187" s="1" t="s">
        <v>601</v>
      </c>
      <c r="Q187" s="1" t="s">
        <v>1462</v>
      </c>
    </row>
    <row r="188" customFormat="false" ht="12.8" hidden="false" customHeight="false" outlineLevel="0" collapsed="false">
      <c r="A188" s="1" t="s">
        <v>17</v>
      </c>
      <c r="B188" s="1" t="s">
        <v>987</v>
      </c>
      <c r="C188" s="1" t="s">
        <v>19</v>
      </c>
      <c r="D188" s="1" t="s">
        <v>1463</v>
      </c>
      <c r="E188" s="1" t="s">
        <v>1463</v>
      </c>
      <c r="F188" s="1" t="s">
        <v>1464</v>
      </c>
      <c r="G188" s="1" t="s">
        <v>22</v>
      </c>
      <c r="H188" s="1" t="s">
        <v>1465</v>
      </c>
      <c r="I188" s="3" t="b">
        <f aca="false">FALSE()</f>
        <v>0</v>
      </c>
      <c r="J188" s="1" t="s">
        <v>1466</v>
      </c>
      <c r="K188" s="1" t="s">
        <v>137</v>
      </c>
      <c r="L188" s="1" t="s">
        <v>1467</v>
      </c>
      <c r="M188" s="1" t="s">
        <v>1468</v>
      </c>
      <c r="N188" s="1" t="s">
        <v>269</v>
      </c>
      <c r="O188" s="1" t="s">
        <v>541</v>
      </c>
      <c r="P188" s="1" t="s">
        <v>352</v>
      </c>
      <c r="Q188" s="1" t="s">
        <v>1469</v>
      </c>
    </row>
    <row r="189" customFormat="false" ht="12.8" hidden="false" customHeight="false" outlineLevel="0" collapsed="false">
      <c r="A189" s="1" t="s">
        <v>17</v>
      </c>
      <c r="B189" s="1" t="s">
        <v>987</v>
      </c>
      <c r="C189" s="1" t="s">
        <v>19</v>
      </c>
      <c r="D189" s="1" t="s">
        <v>1470</v>
      </c>
      <c r="E189" s="1" t="s">
        <v>1470</v>
      </c>
      <c r="F189" s="1" t="s">
        <v>1471</v>
      </c>
      <c r="G189" s="1" t="s">
        <v>22</v>
      </c>
      <c r="H189" s="1" t="s">
        <v>1472</v>
      </c>
      <c r="I189" s="3" t="b">
        <f aca="false">FALSE()</f>
        <v>0</v>
      </c>
      <c r="J189" s="1" t="s">
        <v>1473</v>
      </c>
      <c r="K189" s="1" t="s">
        <v>25</v>
      </c>
      <c r="L189" s="1" t="s">
        <v>885</v>
      </c>
      <c r="M189" s="1" t="s">
        <v>1474</v>
      </c>
      <c r="N189" s="1" t="s">
        <v>895</v>
      </c>
      <c r="O189" s="1" t="s">
        <v>561</v>
      </c>
      <c r="P189" s="1" t="s">
        <v>985</v>
      </c>
      <c r="Q189" s="1" t="s">
        <v>1475</v>
      </c>
    </row>
    <row r="190" customFormat="false" ht="12.8" hidden="false" customHeight="false" outlineLevel="0" collapsed="false">
      <c r="A190" s="1" t="s">
        <v>17</v>
      </c>
      <c r="B190" s="1" t="s">
        <v>987</v>
      </c>
      <c r="C190" s="1" t="s">
        <v>19</v>
      </c>
      <c r="D190" s="1" t="s">
        <v>1476</v>
      </c>
      <c r="E190" s="1" t="s">
        <v>1476</v>
      </c>
      <c r="F190" s="1" t="s">
        <v>1477</v>
      </c>
      <c r="G190" s="1" t="s">
        <v>22</v>
      </c>
      <c r="H190" s="1" t="s">
        <v>1478</v>
      </c>
      <c r="I190" s="3" t="b">
        <f aca="false">FALSE()</f>
        <v>0</v>
      </c>
      <c r="J190" s="1" t="s">
        <v>1479</v>
      </c>
      <c r="K190" s="1" t="s">
        <v>197</v>
      </c>
      <c r="L190" s="1" t="s">
        <v>1284</v>
      </c>
      <c r="M190" s="1" t="s">
        <v>1480</v>
      </c>
      <c r="N190" s="1" t="s">
        <v>1481</v>
      </c>
      <c r="O190" s="1" t="s">
        <v>1482</v>
      </c>
      <c r="P190" s="1" t="s">
        <v>312</v>
      </c>
      <c r="Q190" s="1" t="s">
        <v>1483</v>
      </c>
    </row>
    <row r="191" customFormat="false" ht="12.8" hidden="false" customHeight="false" outlineLevel="0" collapsed="false">
      <c r="A191" s="1" t="s">
        <v>17</v>
      </c>
      <c r="B191" s="1" t="s">
        <v>987</v>
      </c>
      <c r="C191" s="1" t="s">
        <v>19</v>
      </c>
      <c r="D191" s="1" t="s">
        <v>1484</v>
      </c>
      <c r="E191" s="1" t="s">
        <v>1484</v>
      </c>
      <c r="F191" s="1" t="s">
        <v>1485</v>
      </c>
      <c r="G191" s="1" t="s">
        <v>22</v>
      </c>
      <c r="H191" s="1" t="s">
        <v>1486</v>
      </c>
      <c r="I191" s="3" t="b">
        <f aca="false">FALSE()</f>
        <v>0</v>
      </c>
      <c r="J191" s="1" t="s">
        <v>1487</v>
      </c>
      <c r="K191" s="1" t="s">
        <v>25</v>
      </c>
      <c r="L191" s="1" t="s">
        <v>1488</v>
      </c>
      <c r="M191" s="1" t="s">
        <v>1489</v>
      </c>
      <c r="N191" s="1" t="s">
        <v>1490</v>
      </c>
      <c r="O191" s="1" t="s">
        <v>242</v>
      </c>
      <c r="P191" s="1" t="s">
        <v>601</v>
      </c>
      <c r="Q191" s="1" t="s">
        <v>1491</v>
      </c>
    </row>
    <row r="192" customFormat="false" ht="12.8" hidden="false" customHeight="false" outlineLevel="0" collapsed="false">
      <c r="A192" s="1" t="s">
        <v>17</v>
      </c>
      <c r="B192" s="1" t="s">
        <v>987</v>
      </c>
      <c r="C192" s="1" t="s">
        <v>19</v>
      </c>
      <c r="D192" s="1" t="s">
        <v>1492</v>
      </c>
      <c r="E192" s="1" t="s">
        <v>1492</v>
      </c>
      <c r="F192" s="1" t="s">
        <v>1493</v>
      </c>
      <c r="G192" s="1" t="s">
        <v>22</v>
      </c>
      <c r="H192" s="1" t="s">
        <v>1494</v>
      </c>
      <c r="I192" s="3" t="b">
        <f aca="false">FALSE()</f>
        <v>0</v>
      </c>
      <c r="J192" s="1" t="s">
        <v>1495</v>
      </c>
      <c r="K192" s="1" t="s">
        <v>137</v>
      </c>
      <c r="L192" s="1" t="s">
        <v>1341</v>
      </c>
      <c r="M192" s="1" t="s">
        <v>1496</v>
      </c>
      <c r="N192" s="1" t="s">
        <v>1497</v>
      </c>
      <c r="O192" s="1" t="s">
        <v>1498</v>
      </c>
      <c r="P192" s="1" t="s">
        <v>270</v>
      </c>
      <c r="Q192" s="1" t="s">
        <v>1499</v>
      </c>
    </row>
    <row r="193" customFormat="false" ht="12.8" hidden="false" customHeight="false" outlineLevel="0" collapsed="false">
      <c r="A193" s="1" t="s">
        <v>17</v>
      </c>
      <c r="B193" s="1" t="s">
        <v>987</v>
      </c>
      <c r="C193" s="1" t="s">
        <v>19</v>
      </c>
      <c r="D193" s="1" t="s">
        <v>1500</v>
      </c>
      <c r="E193" s="1" t="s">
        <v>1500</v>
      </c>
      <c r="F193" s="1" t="s">
        <v>1501</v>
      </c>
      <c r="G193" s="1" t="s">
        <v>22</v>
      </c>
      <c r="H193" s="1" t="s">
        <v>1502</v>
      </c>
      <c r="I193" s="3" t="b">
        <f aca="false">FALSE()</f>
        <v>0</v>
      </c>
      <c r="J193" s="1" t="s">
        <v>1503</v>
      </c>
      <c r="K193" s="1" t="s">
        <v>25</v>
      </c>
      <c r="L193" s="1" t="s">
        <v>1504</v>
      </c>
      <c r="M193" s="1" t="s">
        <v>1505</v>
      </c>
      <c r="N193" s="1" t="s">
        <v>682</v>
      </c>
      <c r="O193" s="1" t="s">
        <v>1220</v>
      </c>
      <c r="P193" s="1" t="s">
        <v>772</v>
      </c>
      <c r="Q193" s="1" t="s">
        <v>1506</v>
      </c>
    </row>
    <row r="194" customFormat="false" ht="12.8" hidden="false" customHeight="false" outlineLevel="0" collapsed="false">
      <c r="A194" s="1" t="s">
        <v>17</v>
      </c>
      <c r="B194" s="1" t="s">
        <v>987</v>
      </c>
      <c r="C194" s="1" t="s">
        <v>19</v>
      </c>
      <c r="D194" s="1" t="s">
        <v>1507</v>
      </c>
      <c r="E194" s="1" t="s">
        <v>1507</v>
      </c>
      <c r="F194" s="1" t="s">
        <v>1508</v>
      </c>
      <c r="G194" s="1" t="s">
        <v>22</v>
      </c>
      <c r="H194" s="1" t="s">
        <v>1509</v>
      </c>
      <c r="I194" s="3" t="b">
        <f aca="false">FALSE()</f>
        <v>0</v>
      </c>
      <c r="J194" s="1" t="s">
        <v>1510</v>
      </c>
      <c r="K194" s="1" t="s">
        <v>126</v>
      </c>
      <c r="L194" s="1" t="s">
        <v>1511</v>
      </c>
      <c r="M194" s="1" t="s">
        <v>1512</v>
      </c>
      <c r="N194" s="1" t="s">
        <v>1513</v>
      </c>
      <c r="O194" s="1" t="s">
        <v>1514</v>
      </c>
      <c r="P194" s="1" t="s">
        <v>261</v>
      </c>
      <c r="Q194" s="1" t="s">
        <v>1515</v>
      </c>
    </row>
    <row r="195" customFormat="false" ht="12.8" hidden="false" customHeight="false" outlineLevel="0" collapsed="false">
      <c r="A195" s="1" t="s">
        <v>17</v>
      </c>
      <c r="B195" s="1" t="s">
        <v>987</v>
      </c>
      <c r="C195" s="1" t="s">
        <v>19</v>
      </c>
      <c r="D195" s="1" t="s">
        <v>1516</v>
      </c>
      <c r="E195" s="1" t="s">
        <v>1516</v>
      </c>
      <c r="F195" s="1" t="s">
        <v>1517</v>
      </c>
      <c r="G195" s="1" t="s">
        <v>22</v>
      </c>
      <c r="H195" s="1" t="s">
        <v>1518</v>
      </c>
      <c r="I195" s="3" t="b">
        <f aca="false">FALSE()</f>
        <v>0</v>
      </c>
      <c r="J195" s="1" t="s">
        <v>1519</v>
      </c>
      <c r="K195" s="1" t="s">
        <v>147</v>
      </c>
      <c r="L195" s="1" t="s">
        <v>127</v>
      </c>
      <c r="M195" s="1" t="s">
        <v>1520</v>
      </c>
      <c r="N195" s="1" t="s">
        <v>824</v>
      </c>
      <c r="O195" s="1" t="s">
        <v>824</v>
      </c>
      <c r="P195" s="1" t="s">
        <v>1050</v>
      </c>
      <c r="Q195" s="1" t="s">
        <v>1521</v>
      </c>
    </row>
    <row r="196" customFormat="false" ht="12.8" hidden="false" customHeight="false" outlineLevel="0" collapsed="false">
      <c r="A196" s="1" t="s">
        <v>17</v>
      </c>
      <c r="B196" s="1" t="s">
        <v>987</v>
      </c>
      <c r="C196" s="1" t="s">
        <v>19</v>
      </c>
      <c r="D196" s="1" t="s">
        <v>1522</v>
      </c>
      <c r="E196" s="1" t="s">
        <v>1522</v>
      </c>
      <c r="F196" s="1" t="s">
        <v>1523</v>
      </c>
      <c r="G196" s="1" t="s">
        <v>22</v>
      </c>
      <c r="H196" s="1" t="s">
        <v>1524</v>
      </c>
      <c r="I196" s="3" t="b">
        <f aca="false">FALSE()</f>
        <v>0</v>
      </c>
      <c r="J196" s="1" t="s">
        <v>1525</v>
      </c>
      <c r="K196" s="1" t="s">
        <v>197</v>
      </c>
      <c r="L196" s="1" t="s">
        <v>1372</v>
      </c>
      <c r="M196" s="1" t="s">
        <v>1526</v>
      </c>
      <c r="N196" s="1" t="s">
        <v>1527</v>
      </c>
      <c r="O196" s="1" t="s">
        <v>287</v>
      </c>
      <c r="P196" s="1" t="s">
        <v>252</v>
      </c>
      <c r="Q196" s="1" t="s">
        <v>1528</v>
      </c>
    </row>
    <row r="197" customFormat="false" ht="12.8" hidden="false" customHeight="false" outlineLevel="0" collapsed="false">
      <c r="A197" s="1" t="s">
        <v>17</v>
      </c>
      <c r="B197" s="1" t="s">
        <v>987</v>
      </c>
      <c r="C197" s="1" t="s">
        <v>19</v>
      </c>
      <c r="D197" s="1" t="s">
        <v>1529</v>
      </c>
      <c r="E197" s="1" t="s">
        <v>1529</v>
      </c>
      <c r="F197" s="1" t="s">
        <v>1530</v>
      </c>
      <c r="G197" s="1" t="s">
        <v>22</v>
      </c>
      <c r="H197" s="1" t="s">
        <v>1531</v>
      </c>
      <c r="I197" s="3" t="b">
        <f aca="false">FALSE()</f>
        <v>0</v>
      </c>
      <c r="J197" s="1" t="s">
        <v>1532</v>
      </c>
      <c r="K197" s="1" t="s">
        <v>176</v>
      </c>
      <c r="L197" s="1" t="s">
        <v>1533</v>
      </c>
      <c r="M197" s="1" t="s">
        <v>1534</v>
      </c>
      <c r="N197" s="1" t="s">
        <v>617</v>
      </c>
      <c r="O197" s="1" t="s">
        <v>617</v>
      </c>
      <c r="P197" s="1" t="s">
        <v>181</v>
      </c>
      <c r="Q197" s="1" t="s">
        <v>1535</v>
      </c>
    </row>
    <row r="198" customFormat="false" ht="12.8" hidden="false" customHeight="false" outlineLevel="0" collapsed="false">
      <c r="A198" s="1" t="s">
        <v>17</v>
      </c>
      <c r="B198" s="1" t="s">
        <v>987</v>
      </c>
      <c r="C198" s="1" t="s">
        <v>19</v>
      </c>
      <c r="D198" s="1" t="s">
        <v>1536</v>
      </c>
      <c r="E198" s="1" t="s">
        <v>1536</v>
      </c>
      <c r="F198" s="1" t="s">
        <v>1537</v>
      </c>
      <c r="G198" s="1" t="s">
        <v>22</v>
      </c>
      <c r="H198" s="1" t="s">
        <v>1538</v>
      </c>
      <c r="I198" s="3" t="b">
        <f aca="false">FALSE()</f>
        <v>0</v>
      </c>
      <c r="J198" s="1" t="s">
        <v>1539</v>
      </c>
      <c r="K198" s="1" t="s">
        <v>147</v>
      </c>
      <c r="L198" s="1" t="s">
        <v>908</v>
      </c>
      <c r="M198" s="1" t="s">
        <v>1540</v>
      </c>
      <c r="N198" s="1" t="s">
        <v>42</v>
      </c>
      <c r="O198" s="1" t="s">
        <v>561</v>
      </c>
      <c r="P198" s="1" t="s">
        <v>772</v>
      </c>
      <c r="Q198" s="1" t="s">
        <v>1541</v>
      </c>
    </row>
    <row r="199" customFormat="false" ht="12.8" hidden="false" customHeight="false" outlineLevel="0" collapsed="false">
      <c r="A199" s="1" t="s">
        <v>17</v>
      </c>
      <c r="B199" s="1" t="s">
        <v>987</v>
      </c>
      <c r="C199" s="1" t="s">
        <v>19</v>
      </c>
      <c r="D199" s="1" t="s">
        <v>1542</v>
      </c>
      <c r="E199" s="1" t="s">
        <v>1542</v>
      </c>
      <c r="F199" s="1" t="s">
        <v>1543</v>
      </c>
      <c r="G199" s="1" t="s">
        <v>22</v>
      </c>
      <c r="H199" s="1" t="s">
        <v>1544</v>
      </c>
      <c r="I199" s="3" t="b">
        <f aca="false">FALSE()</f>
        <v>0</v>
      </c>
      <c r="J199" s="1" t="s">
        <v>1545</v>
      </c>
      <c r="K199" s="1" t="s">
        <v>49</v>
      </c>
      <c r="L199" s="1" t="s">
        <v>1112</v>
      </c>
      <c r="M199" s="1" t="s">
        <v>1546</v>
      </c>
      <c r="N199" s="1" t="s">
        <v>120</v>
      </c>
      <c r="O199" s="1" t="s">
        <v>120</v>
      </c>
      <c r="P199" s="1" t="s">
        <v>1547</v>
      </c>
      <c r="Q199" s="1" t="s">
        <v>1548</v>
      </c>
    </row>
    <row r="200" customFormat="false" ht="12.8" hidden="false" customHeight="false" outlineLevel="0" collapsed="false">
      <c r="A200" s="1" t="s">
        <v>17</v>
      </c>
      <c r="B200" s="1" t="s">
        <v>987</v>
      </c>
      <c r="C200" s="1" t="s">
        <v>19</v>
      </c>
      <c r="D200" s="1" t="s">
        <v>1549</v>
      </c>
      <c r="E200" s="1" t="s">
        <v>1549</v>
      </c>
      <c r="F200" s="1" t="s">
        <v>1550</v>
      </c>
      <c r="G200" s="1" t="s">
        <v>22</v>
      </c>
      <c r="H200" s="1" t="s">
        <v>1551</v>
      </c>
      <c r="I200" s="3" t="b">
        <f aca="false">FALSE()</f>
        <v>0</v>
      </c>
      <c r="J200" s="1" t="s">
        <v>1552</v>
      </c>
      <c r="K200" s="1" t="s">
        <v>126</v>
      </c>
      <c r="L200" s="1" t="s">
        <v>1098</v>
      </c>
      <c r="M200" s="1" t="s">
        <v>1553</v>
      </c>
      <c r="N200" s="1" t="s">
        <v>41</v>
      </c>
      <c r="O200" s="1" t="s">
        <v>130</v>
      </c>
      <c r="P200" s="1" t="s">
        <v>261</v>
      </c>
      <c r="Q200" s="1" t="s">
        <v>1554</v>
      </c>
    </row>
    <row r="201" customFormat="false" ht="12.8" hidden="false" customHeight="false" outlineLevel="0" collapsed="false">
      <c r="A201" s="1" t="s">
        <v>17</v>
      </c>
      <c r="B201" s="1" t="s">
        <v>987</v>
      </c>
      <c r="C201" s="1" t="s">
        <v>19</v>
      </c>
      <c r="D201" s="1" t="s">
        <v>1555</v>
      </c>
      <c r="E201" s="1" t="s">
        <v>1555</v>
      </c>
      <c r="F201" s="1" t="s">
        <v>1556</v>
      </c>
      <c r="G201" s="1" t="s">
        <v>22</v>
      </c>
      <c r="H201" s="1" t="s">
        <v>1557</v>
      </c>
      <c r="I201" s="3" t="b">
        <f aca="false">FALSE()</f>
        <v>0</v>
      </c>
      <c r="J201" s="1" t="s">
        <v>1558</v>
      </c>
      <c r="K201" s="1" t="s">
        <v>147</v>
      </c>
      <c r="L201" s="1" t="s">
        <v>333</v>
      </c>
      <c r="M201" s="1" t="s">
        <v>1559</v>
      </c>
      <c r="N201" s="1" t="s">
        <v>824</v>
      </c>
      <c r="O201" s="1" t="s">
        <v>108</v>
      </c>
      <c r="P201" s="1" t="s">
        <v>1050</v>
      </c>
      <c r="Q201" s="1" t="s">
        <v>1560</v>
      </c>
    </row>
    <row r="202" customFormat="false" ht="12.8" hidden="false" customHeight="false" outlineLevel="0" collapsed="false">
      <c r="A202" s="1" t="s">
        <v>17</v>
      </c>
      <c r="B202" s="1" t="s">
        <v>987</v>
      </c>
      <c r="C202" s="1" t="s">
        <v>19</v>
      </c>
      <c r="D202" s="1" t="s">
        <v>1561</v>
      </c>
      <c r="E202" s="1" t="s">
        <v>1561</v>
      </c>
      <c r="F202" s="1" t="s">
        <v>1562</v>
      </c>
      <c r="G202" s="1" t="s">
        <v>22</v>
      </c>
      <c r="H202" s="1" t="s">
        <v>1563</v>
      </c>
      <c r="I202" s="3" t="b">
        <f aca="false">FALSE()</f>
        <v>0</v>
      </c>
      <c r="J202" s="1" t="s">
        <v>1564</v>
      </c>
      <c r="K202" s="1" t="s">
        <v>197</v>
      </c>
      <c r="L202" s="1" t="s">
        <v>922</v>
      </c>
      <c r="M202" s="1" t="s">
        <v>1565</v>
      </c>
      <c r="N202" s="1" t="s">
        <v>780</v>
      </c>
      <c r="O202" s="1" t="s">
        <v>895</v>
      </c>
      <c r="P202" s="1" t="s">
        <v>601</v>
      </c>
      <c r="Q202" s="1" t="s">
        <v>1566</v>
      </c>
    </row>
    <row r="203" customFormat="false" ht="12.8" hidden="false" customHeight="false" outlineLevel="0" collapsed="false">
      <c r="A203" s="1" t="s">
        <v>17</v>
      </c>
      <c r="B203" s="1" t="s">
        <v>987</v>
      </c>
      <c r="C203" s="1" t="s">
        <v>19</v>
      </c>
      <c r="D203" s="1" t="s">
        <v>1567</v>
      </c>
      <c r="E203" s="1" t="s">
        <v>1567</v>
      </c>
      <c r="F203" s="1" t="s">
        <v>1568</v>
      </c>
      <c r="G203" s="1" t="s">
        <v>22</v>
      </c>
      <c r="H203" s="1" t="s">
        <v>1569</v>
      </c>
      <c r="I203" s="3" t="b">
        <f aca="false">FALSE()</f>
        <v>0</v>
      </c>
      <c r="J203" s="1" t="s">
        <v>1570</v>
      </c>
      <c r="K203" s="1" t="s">
        <v>25</v>
      </c>
      <c r="L203" s="1" t="s">
        <v>1365</v>
      </c>
      <c r="M203" s="1" t="s">
        <v>1571</v>
      </c>
      <c r="N203" s="1" t="s">
        <v>1572</v>
      </c>
      <c r="O203" s="1" t="s">
        <v>42</v>
      </c>
      <c r="P203" s="1" t="s">
        <v>1573</v>
      </c>
      <c r="Q203" s="1" t="s">
        <v>1574</v>
      </c>
    </row>
    <row r="204" customFormat="false" ht="12.8" hidden="false" customHeight="false" outlineLevel="0" collapsed="false">
      <c r="A204" s="1" t="s">
        <v>17</v>
      </c>
      <c r="B204" s="1" t="s">
        <v>987</v>
      </c>
      <c r="C204" s="1" t="s">
        <v>19</v>
      </c>
      <c r="D204" s="1" t="s">
        <v>1575</v>
      </c>
      <c r="E204" s="1" t="s">
        <v>1575</v>
      </c>
      <c r="F204" s="1" t="s">
        <v>1576</v>
      </c>
      <c r="G204" s="1" t="s">
        <v>22</v>
      </c>
      <c r="H204" s="1" t="s">
        <v>1577</v>
      </c>
      <c r="I204" s="3" t="b">
        <f aca="false">FALSE()</f>
        <v>0</v>
      </c>
      <c r="J204" s="1" t="s">
        <v>1578</v>
      </c>
      <c r="K204" s="1" t="s">
        <v>147</v>
      </c>
      <c r="L204" s="1" t="s">
        <v>1579</v>
      </c>
      <c r="M204" s="1" t="s">
        <v>1580</v>
      </c>
      <c r="N204" s="1" t="s">
        <v>199</v>
      </c>
      <c r="O204" s="1" t="s">
        <v>119</v>
      </c>
      <c r="P204" s="1" t="s">
        <v>161</v>
      </c>
      <c r="Q204" s="1" t="s">
        <v>1581</v>
      </c>
    </row>
    <row r="205" customFormat="false" ht="12.8" hidden="false" customHeight="false" outlineLevel="0" collapsed="false">
      <c r="A205" s="1" t="s">
        <v>17</v>
      </c>
      <c r="B205" s="1" t="s">
        <v>987</v>
      </c>
      <c r="C205" s="1" t="s">
        <v>19</v>
      </c>
      <c r="D205" s="1" t="s">
        <v>1582</v>
      </c>
      <c r="E205" s="1" t="s">
        <v>1582</v>
      </c>
      <c r="F205" s="1" t="s">
        <v>1583</v>
      </c>
      <c r="G205" s="1" t="s">
        <v>22</v>
      </c>
      <c r="H205" s="1" t="s">
        <v>1584</v>
      </c>
      <c r="I205" s="3" t="b">
        <f aca="false">FALSE()</f>
        <v>0</v>
      </c>
      <c r="J205" s="1" t="s">
        <v>1585</v>
      </c>
      <c r="K205" s="1" t="s">
        <v>25</v>
      </c>
      <c r="L205" s="1" t="s">
        <v>1586</v>
      </c>
      <c r="M205" s="1" t="s">
        <v>1587</v>
      </c>
      <c r="N205" s="1" t="s">
        <v>101</v>
      </c>
      <c r="O205" s="1" t="s">
        <v>42</v>
      </c>
      <c r="P205" s="1" t="s">
        <v>181</v>
      </c>
      <c r="Q205" s="1" t="s">
        <v>1588</v>
      </c>
    </row>
    <row r="206" customFormat="false" ht="12.8" hidden="false" customHeight="false" outlineLevel="0" collapsed="false">
      <c r="A206" s="1" t="s">
        <v>17</v>
      </c>
      <c r="B206" s="1" t="s">
        <v>987</v>
      </c>
      <c r="C206" s="1" t="s">
        <v>19</v>
      </c>
      <c r="D206" s="1" t="s">
        <v>1589</v>
      </c>
      <c r="E206" s="1" t="s">
        <v>1589</v>
      </c>
      <c r="F206" s="1" t="s">
        <v>1590</v>
      </c>
      <c r="G206" s="1" t="s">
        <v>35</v>
      </c>
      <c r="H206" s="1" t="s">
        <v>1591</v>
      </c>
      <c r="I206" s="3" t="b">
        <f aca="false">FALSE()</f>
        <v>0</v>
      </c>
      <c r="J206" s="1" t="s">
        <v>1592</v>
      </c>
      <c r="K206" s="1" t="s">
        <v>77</v>
      </c>
      <c r="L206" s="1" t="s">
        <v>648</v>
      </c>
      <c r="M206" s="1" t="s">
        <v>1593</v>
      </c>
      <c r="N206" s="1" t="s">
        <v>561</v>
      </c>
      <c r="O206" s="1" t="s">
        <v>1594</v>
      </c>
      <c r="P206" s="1" t="s">
        <v>43</v>
      </c>
      <c r="Q206" s="1" t="s">
        <v>1595</v>
      </c>
    </row>
    <row r="207" customFormat="false" ht="12.8" hidden="false" customHeight="false" outlineLevel="0" collapsed="false">
      <c r="A207" s="1" t="s">
        <v>17</v>
      </c>
      <c r="B207" s="1" t="s">
        <v>987</v>
      </c>
      <c r="C207" s="1" t="s">
        <v>19</v>
      </c>
      <c r="D207" s="1" t="s">
        <v>1596</v>
      </c>
      <c r="E207" s="1" t="s">
        <v>1596</v>
      </c>
      <c r="F207" s="1" t="s">
        <v>1597</v>
      </c>
      <c r="G207" s="1" t="s">
        <v>22</v>
      </c>
      <c r="H207" s="1" t="s">
        <v>1598</v>
      </c>
      <c r="I207" s="3" t="b">
        <f aca="false">FALSE()</f>
        <v>0</v>
      </c>
      <c r="J207" s="1" t="s">
        <v>1599</v>
      </c>
      <c r="K207" s="1" t="s">
        <v>197</v>
      </c>
      <c r="L207" s="1" t="s">
        <v>846</v>
      </c>
      <c r="M207" s="1" t="s">
        <v>1600</v>
      </c>
      <c r="N207" s="1" t="s">
        <v>895</v>
      </c>
      <c r="O207" s="1" t="s">
        <v>895</v>
      </c>
      <c r="P207" s="1" t="s">
        <v>601</v>
      </c>
      <c r="Q207" s="1" t="s">
        <v>1601</v>
      </c>
    </row>
    <row r="208" customFormat="false" ht="12.8" hidden="false" customHeight="false" outlineLevel="0" collapsed="false">
      <c r="A208" s="1" t="s">
        <v>17</v>
      </c>
      <c r="B208" s="1" t="s">
        <v>987</v>
      </c>
      <c r="C208" s="1" t="s">
        <v>19</v>
      </c>
      <c r="D208" s="1" t="s">
        <v>1602</v>
      </c>
      <c r="E208" s="1" t="s">
        <v>1602</v>
      </c>
      <c r="F208" s="1" t="s">
        <v>1603</v>
      </c>
      <c r="G208" s="1" t="s">
        <v>22</v>
      </c>
      <c r="H208" s="1" t="s">
        <v>1604</v>
      </c>
      <c r="I208" s="3" t="b">
        <f aca="false">FALSE()</f>
        <v>0</v>
      </c>
      <c r="J208" s="1" t="s">
        <v>1605</v>
      </c>
      <c r="K208" s="1" t="s">
        <v>49</v>
      </c>
      <c r="L208" s="1" t="s">
        <v>1098</v>
      </c>
      <c r="M208" s="1" t="s">
        <v>1606</v>
      </c>
      <c r="N208" s="1" t="s">
        <v>341</v>
      </c>
      <c r="O208" s="1" t="s">
        <v>561</v>
      </c>
      <c r="P208" s="1" t="s">
        <v>601</v>
      </c>
      <c r="Q208" s="1" t="s">
        <v>1607</v>
      </c>
    </row>
    <row r="209" customFormat="false" ht="12.8" hidden="false" customHeight="false" outlineLevel="0" collapsed="false">
      <c r="A209" s="1" t="s">
        <v>17</v>
      </c>
      <c r="B209" s="1" t="s">
        <v>987</v>
      </c>
      <c r="C209" s="1" t="s">
        <v>19</v>
      </c>
      <c r="D209" s="1" t="s">
        <v>1608</v>
      </c>
      <c r="E209" s="1" t="s">
        <v>1608</v>
      </c>
      <c r="F209" s="1" t="s">
        <v>1609</v>
      </c>
      <c r="G209" s="1" t="s">
        <v>22</v>
      </c>
      <c r="H209" s="1" t="s">
        <v>1610</v>
      </c>
      <c r="I209" s="3" t="b">
        <f aca="false">FALSE()</f>
        <v>0</v>
      </c>
      <c r="J209" s="1" t="s">
        <v>1611</v>
      </c>
      <c r="K209" s="1" t="s">
        <v>25</v>
      </c>
      <c r="L209" s="1" t="s">
        <v>1612</v>
      </c>
      <c r="M209" s="1" t="s">
        <v>1613</v>
      </c>
      <c r="N209" s="1" t="s">
        <v>108</v>
      </c>
      <c r="O209" s="1" t="s">
        <v>682</v>
      </c>
      <c r="P209" s="1" t="s">
        <v>30</v>
      </c>
      <c r="Q209" s="1" t="s">
        <v>1614</v>
      </c>
    </row>
    <row r="210" customFormat="false" ht="12.8" hidden="false" customHeight="false" outlineLevel="0" collapsed="false">
      <c r="A210" s="1" t="s">
        <v>17</v>
      </c>
      <c r="B210" s="1" t="s">
        <v>987</v>
      </c>
      <c r="C210" s="1" t="s">
        <v>19</v>
      </c>
      <c r="D210" s="1" t="s">
        <v>1615</v>
      </c>
      <c r="E210" s="1" t="s">
        <v>1615</v>
      </c>
      <c r="F210" s="1" t="s">
        <v>1616</v>
      </c>
      <c r="G210" s="1" t="s">
        <v>22</v>
      </c>
      <c r="H210" s="1" t="s">
        <v>1617</v>
      </c>
      <c r="I210" s="3" t="b">
        <f aca="false">FALSE()</f>
        <v>0</v>
      </c>
      <c r="J210" s="1" t="s">
        <v>1618</v>
      </c>
      <c r="K210" s="1" t="s">
        <v>197</v>
      </c>
      <c r="L210" s="1" t="s">
        <v>1619</v>
      </c>
      <c r="M210" s="1" t="s">
        <v>1620</v>
      </c>
      <c r="N210" s="1" t="s">
        <v>28</v>
      </c>
      <c r="O210" s="1" t="s">
        <v>28</v>
      </c>
      <c r="P210" s="1" t="s">
        <v>1173</v>
      </c>
      <c r="Q210" s="1" t="s">
        <v>1621</v>
      </c>
    </row>
    <row r="211" customFormat="false" ht="12.8" hidden="false" customHeight="false" outlineLevel="0" collapsed="false">
      <c r="A211" s="1" t="s">
        <v>17</v>
      </c>
      <c r="B211" s="1" t="s">
        <v>987</v>
      </c>
      <c r="C211" s="1" t="s">
        <v>19</v>
      </c>
      <c r="D211" s="1" t="s">
        <v>1622</v>
      </c>
      <c r="E211" s="1" t="s">
        <v>1622</v>
      </c>
      <c r="F211" s="1" t="s">
        <v>1623</v>
      </c>
      <c r="G211" s="1" t="s">
        <v>22</v>
      </c>
      <c r="H211" s="1" t="s">
        <v>1624</v>
      </c>
      <c r="I211" s="3" t="b">
        <f aca="false">FALSE()</f>
        <v>0</v>
      </c>
      <c r="J211" s="1" t="s">
        <v>1625</v>
      </c>
      <c r="K211" s="1" t="s">
        <v>147</v>
      </c>
      <c r="L211" s="1" t="s">
        <v>1626</v>
      </c>
      <c r="M211" s="1" t="s">
        <v>1627</v>
      </c>
      <c r="N211" s="1" t="s">
        <v>1628</v>
      </c>
      <c r="O211" s="1" t="s">
        <v>1629</v>
      </c>
      <c r="P211" s="1" t="s">
        <v>761</v>
      </c>
      <c r="Q211" s="1" t="s">
        <v>1630</v>
      </c>
    </row>
    <row r="212" customFormat="false" ht="12.8" hidden="false" customHeight="false" outlineLevel="0" collapsed="false">
      <c r="A212" s="1" t="s">
        <v>17</v>
      </c>
      <c r="B212" s="1" t="s">
        <v>987</v>
      </c>
      <c r="C212" s="1" t="s">
        <v>19</v>
      </c>
      <c r="D212" s="1" t="s">
        <v>1631</v>
      </c>
      <c r="E212" s="1" t="s">
        <v>1631</v>
      </c>
      <c r="F212" s="1" t="s">
        <v>1632</v>
      </c>
      <c r="G212" s="1" t="s">
        <v>22</v>
      </c>
      <c r="H212" s="1" t="s">
        <v>1633</v>
      </c>
      <c r="I212" s="3" t="b">
        <f aca="false">FALSE()</f>
        <v>0</v>
      </c>
      <c r="J212" s="1" t="s">
        <v>1634</v>
      </c>
      <c r="K212" s="1" t="s">
        <v>137</v>
      </c>
      <c r="L212" s="1" t="s">
        <v>1635</v>
      </c>
      <c r="M212" s="1" t="s">
        <v>1636</v>
      </c>
      <c r="N212" s="1" t="s">
        <v>242</v>
      </c>
      <c r="O212" s="1" t="s">
        <v>63</v>
      </c>
      <c r="P212" s="1" t="s">
        <v>781</v>
      </c>
      <c r="Q212" s="1" t="s">
        <v>1637</v>
      </c>
    </row>
    <row r="213" customFormat="false" ht="12.8" hidden="false" customHeight="false" outlineLevel="0" collapsed="false">
      <c r="A213" s="1" t="s">
        <v>17</v>
      </c>
      <c r="B213" s="1" t="s">
        <v>987</v>
      </c>
      <c r="C213" s="1" t="s">
        <v>19</v>
      </c>
      <c r="D213" s="1" t="s">
        <v>1638</v>
      </c>
      <c r="E213" s="1" t="s">
        <v>1638</v>
      </c>
      <c r="F213" s="1" t="s">
        <v>1639</v>
      </c>
      <c r="G213" s="1" t="s">
        <v>22</v>
      </c>
      <c r="H213" s="1" t="s">
        <v>1640</v>
      </c>
      <c r="I213" s="3" t="b">
        <f aca="false">FALSE()</f>
        <v>0</v>
      </c>
      <c r="J213" s="1" t="s">
        <v>1641</v>
      </c>
      <c r="K213" s="1" t="s">
        <v>49</v>
      </c>
      <c r="L213" s="1" t="s">
        <v>1171</v>
      </c>
      <c r="M213" s="1" t="s">
        <v>1642</v>
      </c>
      <c r="N213" s="1" t="s">
        <v>1221</v>
      </c>
      <c r="O213" s="1" t="s">
        <v>42</v>
      </c>
      <c r="P213" s="1" t="s">
        <v>1173</v>
      </c>
      <c r="Q213" s="1" t="s">
        <v>1643</v>
      </c>
    </row>
    <row r="214" customFormat="false" ht="12.8" hidden="false" customHeight="false" outlineLevel="0" collapsed="false">
      <c r="A214" s="1" t="s">
        <v>17</v>
      </c>
      <c r="B214" s="1" t="s">
        <v>987</v>
      </c>
      <c r="C214" s="1" t="s">
        <v>19</v>
      </c>
      <c r="D214" s="1" t="s">
        <v>1644</v>
      </c>
      <c r="E214" s="1" t="s">
        <v>1644</v>
      </c>
      <c r="F214" s="1" t="s">
        <v>1645</v>
      </c>
      <c r="G214" s="1" t="s">
        <v>22</v>
      </c>
      <c r="H214" s="1" t="s">
        <v>1646</v>
      </c>
      <c r="I214" s="3" t="b">
        <f aca="false">FALSE()</f>
        <v>0</v>
      </c>
      <c r="J214" s="1" t="s">
        <v>1647</v>
      </c>
      <c r="K214" s="1" t="s">
        <v>49</v>
      </c>
      <c r="L214" s="1" t="s">
        <v>853</v>
      </c>
      <c r="M214" s="1" t="s">
        <v>1648</v>
      </c>
      <c r="N214" s="1" t="s">
        <v>1649</v>
      </c>
      <c r="O214" s="1" t="s">
        <v>902</v>
      </c>
      <c r="P214" s="1" t="s">
        <v>181</v>
      </c>
      <c r="Q214" s="1" t="s">
        <v>1650</v>
      </c>
    </row>
    <row r="215" customFormat="false" ht="12.8" hidden="false" customHeight="false" outlineLevel="0" collapsed="false">
      <c r="A215" s="1" t="s">
        <v>17</v>
      </c>
      <c r="B215" s="1" t="s">
        <v>987</v>
      </c>
      <c r="C215" s="1" t="s">
        <v>19</v>
      </c>
      <c r="D215" s="1" t="s">
        <v>1651</v>
      </c>
      <c r="E215" s="1" t="s">
        <v>1651</v>
      </c>
      <c r="F215" s="1" t="s">
        <v>1652</v>
      </c>
      <c r="G215" s="1" t="s">
        <v>22</v>
      </c>
      <c r="H215" s="1" t="s">
        <v>1653</v>
      </c>
      <c r="I215" s="3" t="b">
        <f aca="false">FALSE()</f>
        <v>0</v>
      </c>
      <c r="J215" s="1" t="s">
        <v>1654</v>
      </c>
      <c r="K215" s="1" t="s">
        <v>147</v>
      </c>
      <c r="L215" s="1" t="s">
        <v>1171</v>
      </c>
      <c r="M215" s="1" t="s">
        <v>1655</v>
      </c>
      <c r="N215" s="1" t="s">
        <v>179</v>
      </c>
      <c r="O215" s="1" t="s">
        <v>41</v>
      </c>
      <c r="P215" s="1" t="s">
        <v>181</v>
      </c>
      <c r="Q215" s="1" t="s">
        <v>1656</v>
      </c>
    </row>
    <row r="216" customFormat="false" ht="12.8" hidden="false" customHeight="false" outlineLevel="0" collapsed="false">
      <c r="A216" s="1" t="s">
        <v>17</v>
      </c>
      <c r="B216" s="1" t="s">
        <v>987</v>
      </c>
      <c r="C216" s="1" t="s">
        <v>19</v>
      </c>
      <c r="D216" s="1" t="s">
        <v>1657</v>
      </c>
      <c r="E216" s="1" t="s">
        <v>1657</v>
      </c>
      <c r="F216" s="1" t="s">
        <v>1658</v>
      </c>
      <c r="G216" s="1" t="s">
        <v>22</v>
      </c>
      <c r="H216" s="1" t="s">
        <v>1659</v>
      </c>
      <c r="I216" s="3" t="b">
        <f aca="false">FALSE()</f>
        <v>0</v>
      </c>
      <c r="J216" s="1" t="s">
        <v>1660</v>
      </c>
      <c r="K216" s="1" t="s">
        <v>147</v>
      </c>
      <c r="L216" s="1" t="s">
        <v>390</v>
      </c>
      <c r="M216" s="1" t="s">
        <v>1661</v>
      </c>
      <c r="N216" s="1" t="s">
        <v>1662</v>
      </c>
      <c r="O216" s="1" t="s">
        <v>207</v>
      </c>
      <c r="P216" s="1" t="s">
        <v>252</v>
      </c>
      <c r="Q216" s="1" t="s">
        <v>1663</v>
      </c>
    </row>
    <row r="217" customFormat="false" ht="12.8" hidden="false" customHeight="false" outlineLevel="0" collapsed="false">
      <c r="A217" s="1" t="s">
        <v>17</v>
      </c>
      <c r="B217" s="1" t="s">
        <v>987</v>
      </c>
      <c r="C217" s="1" t="s">
        <v>19</v>
      </c>
      <c r="D217" s="1" t="s">
        <v>1664</v>
      </c>
      <c r="E217" s="1" t="s">
        <v>1664</v>
      </c>
      <c r="F217" s="1" t="s">
        <v>1665</v>
      </c>
      <c r="G217" s="1" t="s">
        <v>22</v>
      </c>
      <c r="H217" s="1" t="s">
        <v>1666</v>
      </c>
      <c r="I217" s="3" t="b">
        <f aca="false">FALSE()</f>
        <v>0</v>
      </c>
      <c r="J217" s="1" t="s">
        <v>1667</v>
      </c>
      <c r="K217" s="1" t="s">
        <v>147</v>
      </c>
      <c r="L217" s="1" t="s">
        <v>1586</v>
      </c>
      <c r="M217" s="1" t="s">
        <v>1668</v>
      </c>
      <c r="N217" s="1" t="s">
        <v>1122</v>
      </c>
      <c r="O217" s="1" t="s">
        <v>242</v>
      </c>
      <c r="P217" s="1" t="s">
        <v>781</v>
      </c>
      <c r="Q217" s="1" t="s">
        <v>1669</v>
      </c>
    </row>
    <row r="218" customFormat="false" ht="12.8" hidden="false" customHeight="false" outlineLevel="0" collapsed="false">
      <c r="A218" s="1" t="s">
        <v>17</v>
      </c>
      <c r="B218" s="1" t="s">
        <v>987</v>
      </c>
      <c r="C218" s="1" t="s">
        <v>19</v>
      </c>
      <c r="D218" s="1" t="s">
        <v>1670</v>
      </c>
      <c r="E218" s="1" t="s">
        <v>1670</v>
      </c>
      <c r="F218" s="1" t="s">
        <v>1671</v>
      </c>
      <c r="G218" s="1" t="s">
        <v>22</v>
      </c>
      <c r="H218" s="1" t="s">
        <v>1672</v>
      </c>
      <c r="I218" s="3" t="b">
        <f aca="false">FALSE()</f>
        <v>0</v>
      </c>
      <c r="J218" s="1" t="s">
        <v>1673</v>
      </c>
      <c r="K218" s="1" t="s">
        <v>126</v>
      </c>
      <c r="L218" s="1" t="s">
        <v>1674</v>
      </c>
      <c r="M218" s="1" t="s">
        <v>1675</v>
      </c>
      <c r="N218" s="1" t="s">
        <v>1676</v>
      </c>
      <c r="O218" s="1" t="s">
        <v>1144</v>
      </c>
      <c r="P218" s="1" t="s">
        <v>252</v>
      </c>
      <c r="Q218" s="1" t="s">
        <v>1677</v>
      </c>
    </row>
    <row r="219" customFormat="false" ht="12.8" hidden="false" customHeight="false" outlineLevel="0" collapsed="false">
      <c r="A219" s="1" t="s">
        <v>17</v>
      </c>
      <c r="B219" s="1" t="s">
        <v>987</v>
      </c>
      <c r="C219" s="1" t="s">
        <v>19</v>
      </c>
      <c r="D219" s="1" t="s">
        <v>1678</v>
      </c>
      <c r="E219" s="1" t="s">
        <v>1678</v>
      </c>
      <c r="F219" s="1" t="s">
        <v>1679</v>
      </c>
      <c r="G219" s="1" t="s">
        <v>22</v>
      </c>
      <c r="H219" s="1" t="s">
        <v>1680</v>
      </c>
      <c r="I219" s="3" t="b">
        <f aca="false">FALSE()</f>
        <v>0</v>
      </c>
      <c r="J219" s="1" t="s">
        <v>1681</v>
      </c>
      <c r="K219" s="1" t="s">
        <v>49</v>
      </c>
      <c r="L219" s="1" t="s">
        <v>846</v>
      </c>
      <c r="M219" s="1" t="s">
        <v>1682</v>
      </c>
      <c r="N219" s="1" t="s">
        <v>120</v>
      </c>
      <c r="O219" s="1" t="s">
        <v>120</v>
      </c>
      <c r="P219" s="1" t="s">
        <v>761</v>
      </c>
      <c r="Q219" s="1" t="s">
        <v>1683</v>
      </c>
    </row>
    <row r="220" customFormat="false" ht="12.8" hidden="false" customHeight="false" outlineLevel="0" collapsed="false">
      <c r="A220" s="1" t="s">
        <v>17</v>
      </c>
      <c r="B220" s="1" t="s">
        <v>987</v>
      </c>
      <c r="C220" s="1" t="s">
        <v>19</v>
      </c>
      <c r="D220" s="1" t="s">
        <v>1684</v>
      </c>
      <c r="E220" s="1" t="s">
        <v>1684</v>
      </c>
      <c r="F220" s="1" t="s">
        <v>1685</v>
      </c>
      <c r="G220" s="1" t="s">
        <v>22</v>
      </c>
      <c r="H220" s="1" t="s">
        <v>1686</v>
      </c>
      <c r="I220" s="3" t="b">
        <f aca="false">FALSE()</f>
        <v>0</v>
      </c>
      <c r="J220" s="1" t="s">
        <v>1687</v>
      </c>
      <c r="K220" s="1" t="s">
        <v>126</v>
      </c>
      <c r="L220" s="1" t="s">
        <v>1688</v>
      </c>
      <c r="M220" s="1" t="s">
        <v>1689</v>
      </c>
      <c r="N220" s="1" t="s">
        <v>41</v>
      </c>
      <c r="O220" s="1" t="s">
        <v>42</v>
      </c>
      <c r="P220" s="1" t="s">
        <v>352</v>
      </c>
      <c r="Q220" s="1" t="s">
        <v>1690</v>
      </c>
    </row>
    <row r="221" customFormat="false" ht="12.8" hidden="false" customHeight="false" outlineLevel="0" collapsed="false">
      <c r="A221" s="1" t="s">
        <v>17</v>
      </c>
      <c r="B221" s="1" t="s">
        <v>987</v>
      </c>
      <c r="C221" s="1" t="s">
        <v>19</v>
      </c>
      <c r="D221" s="1" t="s">
        <v>1691</v>
      </c>
      <c r="E221" s="1" t="s">
        <v>1691</v>
      </c>
      <c r="F221" s="1" t="s">
        <v>1692</v>
      </c>
      <c r="G221" s="1" t="s">
        <v>22</v>
      </c>
      <c r="H221" s="1" t="s">
        <v>1693</v>
      </c>
      <c r="I221" s="3" t="b">
        <f aca="false">FALSE()</f>
        <v>0</v>
      </c>
      <c r="J221" s="1" t="s">
        <v>1694</v>
      </c>
      <c r="K221" s="1" t="s">
        <v>147</v>
      </c>
      <c r="L221" s="1" t="s">
        <v>1422</v>
      </c>
      <c r="M221" s="1" t="s">
        <v>1695</v>
      </c>
      <c r="N221" s="1" t="s">
        <v>443</v>
      </c>
      <c r="O221" s="1" t="s">
        <v>1388</v>
      </c>
      <c r="P221" s="1" t="s">
        <v>781</v>
      </c>
      <c r="Q221" s="1" t="s">
        <v>1696</v>
      </c>
    </row>
    <row r="222" customFormat="false" ht="12.8" hidden="false" customHeight="false" outlineLevel="0" collapsed="false">
      <c r="A222" s="1" t="s">
        <v>17</v>
      </c>
      <c r="B222" s="1" t="s">
        <v>987</v>
      </c>
      <c r="C222" s="1" t="s">
        <v>19</v>
      </c>
      <c r="D222" s="1" t="s">
        <v>1697</v>
      </c>
      <c r="E222" s="1" t="s">
        <v>1697</v>
      </c>
      <c r="F222" s="1" t="s">
        <v>1698</v>
      </c>
      <c r="G222" s="1" t="s">
        <v>22</v>
      </c>
      <c r="H222" s="1" t="s">
        <v>1699</v>
      </c>
      <c r="I222" s="3" t="b">
        <f aca="false">FALSE()</f>
        <v>0</v>
      </c>
      <c r="J222" s="1" t="s">
        <v>1700</v>
      </c>
      <c r="K222" s="1" t="s">
        <v>147</v>
      </c>
      <c r="L222" s="1" t="s">
        <v>1701</v>
      </c>
      <c r="M222" s="1" t="s">
        <v>1702</v>
      </c>
      <c r="N222" s="1" t="s">
        <v>780</v>
      </c>
      <c r="O222" s="1" t="s">
        <v>342</v>
      </c>
      <c r="P222" s="1" t="s">
        <v>352</v>
      </c>
      <c r="Q222" s="1" t="s">
        <v>1703</v>
      </c>
    </row>
    <row r="223" customFormat="false" ht="12.8" hidden="false" customHeight="false" outlineLevel="0" collapsed="false">
      <c r="A223" s="1" t="s">
        <v>17</v>
      </c>
      <c r="B223" s="1" t="s">
        <v>987</v>
      </c>
      <c r="C223" s="1" t="s">
        <v>19</v>
      </c>
      <c r="D223" s="1" t="s">
        <v>1704</v>
      </c>
      <c r="E223" s="1" t="s">
        <v>1704</v>
      </c>
      <c r="F223" s="1" t="s">
        <v>1705</v>
      </c>
      <c r="G223" s="1" t="s">
        <v>22</v>
      </c>
      <c r="H223" s="1" t="s">
        <v>1706</v>
      </c>
      <c r="I223" s="3" t="b">
        <f aca="false">FALSE()</f>
        <v>0</v>
      </c>
      <c r="J223" s="1" t="s">
        <v>1707</v>
      </c>
      <c r="K223" s="1" t="s">
        <v>137</v>
      </c>
      <c r="L223" s="1" t="s">
        <v>1334</v>
      </c>
      <c r="M223" s="1" t="s">
        <v>1708</v>
      </c>
      <c r="N223" s="1" t="s">
        <v>1709</v>
      </c>
      <c r="O223" s="1" t="s">
        <v>400</v>
      </c>
      <c r="P223" s="1" t="s">
        <v>601</v>
      </c>
      <c r="Q223" s="1" t="s">
        <v>1710</v>
      </c>
    </row>
    <row r="224" customFormat="false" ht="12.8" hidden="false" customHeight="false" outlineLevel="0" collapsed="false">
      <c r="A224" s="1" t="s">
        <v>17</v>
      </c>
      <c r="B224" s="1" t="s">
        <v>987</v>
      </c>
      <c r="C224" s="1" t="s">
        <v>19</v>
      </c>
      <c r="D224" s="1" t="s">
        <v>1711</v>
      </c>
      <c r="E224" s="1" t="s">
        <v>1711</v>
      </c>
      <c r="F224" s="1" t="s">
        <v>1712</v>
      </c>
      <c r="G224" s="1" t="s">
        <v>22</v>
      </c>
      <c r="H224" s="1" t="s">
        <v>1713</v>
      </c>
      <c r="I224" s="3" t="b">
        <f aca="false">FALSE()</f>
        <v>0</v>
      </c>
      <c r="J224" s="1" t="s">
        <v>1714</v>
      </c>
      <c r="K224" s="1" t="s">
        <v>197</v>
      </c>
      <c r="L224" s="1" t="s">
        <v>1142</v>
      </c>
      <c r="M224" s="1" t="s">
        <v>1715</v>
      </c>
      <c r="N224" s="1" t="s">
        <v>41</v>
      </c>
      <c r="O224" s="1" t="s">
        <v>42</v>
      </c>
      <c r="P224" s="1" t="s">
        <v>270</v>
      </c>
      <c r="Q224" s="1" t="s">
        <v>1716</v>
      </c>
    </row>
    <row r="225" customFormat="false" ht="12.8" hidden="false" customHeight="false" outlineLevel="0" collapsed="false">
      <c r="A225" s="1" t="s">
        <v>17</v>
      </c>
      <c r="B225" s="1" t="s">
        <v>987</v>
      </c>
      <c r="C225" s="1" t="s">
        <v>19</v>
      </c>
      <c r="D225" s="1" t="s">
        <v>1717</v>
      </c>
      <c r="E225" s="1" t="s">
        <v>1717</v>
      </c>
      <c r="F225" s="1" t="s">
        <v>1718</v>
      </c>
      <c r="G225" s="1" t="s">
        <v>22</v>
      </c>
      <c r="H225" s="1" t="s">
        <v>1719</v>
      </c>
      <c r="I225" s="3" t="b">
        <f aca="false">FALSE()</f>
        <v>0</v>
      </c>
      <c r="J225" s="1" t="s">
        <v>1720</v>
      </c>
      <c r="K225" s="1" t="s">
        <v>197</v>
      </c>
      <c r="L225" s="1" t="s">
        <v>992</v>
      </c>
      <c r="M225" s="1" t="s">
        <v>1721</v>
      </c>
      <c r="N225" s="1" t="s">
        <v>1722</v>
      </c>
      <c r="O225" s="1" t="s">
        <v>242</v>
      </c>
      <c r="P225" s="1" t="s">
        <v>41</v>
      </c>
      <c r="Q225" s="1" t="s">
        <v>1723</v>
      </c>
    </row>
    <row r="226" customFormat="false" ht="12.8" hidden="false" customHeight="false" outlineLevel="0" collapsed="false">
      <c r="A226" s="1" t="s">
        <v>17</v>
      </c>
      <c r="B226" s="1" t="s">
        <v>987</v>
      </c>
      <c r="C226" s="1" t="s">
        <v>19</v>
      </c>
      <c r="D226" s="1" t="s">
        <v>1724</v>
      </c>
      <c r="E226" s="1" t="s">
        <v>1724</v>
      </c>
      <c r="F226" s="1" t="s">
        <v>1725</v>
      </c>
      <c r="G226" s="1" t="s">
        <v>22</v>
      </c>
      <c r="H226" s="1" t="s">
        <v>1726</v>
      </c>
      <c r="I226" s="3" t="b">
        <f aca="false">FALSE()</f>
        <v>0</v>
      </c>
      <c r="J226" s="1" t="s">
        <v>1727</v>
      </c>
      <c r="K226" s="1" t="s">
        <v>25</v>
      </c>
      <c r="L226" s="1" t="s">
        <v>1728</v>
      </c>
      <c r="M226" s="1" t="s">
        <v>1729</v>
      </c>
      <c r="N226" s="1" t="s">
        <v>443</v>
      </c>
      <c r="O226" s="1" t="s">
        <v>895</v>
      </c>
      <c r="P226" s="1" t="s">
        <v>772</v>
      </c>
      <c r="Q226" s="1" t="s">
        <v>1730</v>
      </c>
    </row>
    <row r="227" customFormat="false" ht="12.8" hidden="false" customHeight="false" outlineLevel="0" collapsed="false">
      <c r="A227" s="1" t="s">
        <v>17</v>
      </c>
      <c r="B227" s="1" t="s">
        <v>987</v>
      </c>
      <c r="C227" s="1" t="s">
        <v>19</v>
      </c>
      <c r="D227" s="1" t="s">
        <v>1731</v>
      </c>
      <c r="E227" s="1" t="s">
        <v>1731</v>
      </c>
      <c r="F227" s="1" t="s">
        <v>1732</v>
      </c>
      <c r="G227" s="1" t="s">
        <v>22</v>
      </c>
      <c r="H227" s="1" t="s">
        <v>1733</v>
      </c>
      <c r="I227" s="3" t="b">
        <f aca="false">FALSE()</f>
        <v>0</v>
      </c>
      <c r="J227" s="1" t="s">
        <v>1734</v>
      </c>
      <c r="K227" s="1" t="s">
        <v>137</v>
      </c>
      <c r="L227" s="1" t="s">
        <v>1077</v>
      </c>
      <c r="M227" s="1" t="s">
        <v>1735</v>
      </c>
      <c r="N227" s="1" t="s">
        <v>1736</v>
      </c>
      <c r="O227" s="1" t="s">
        <v>151</v>
      </c>
      <c r="P227" s="1" t="s">
        <v>181</v>
      </c>
      <c r="Q227" s="1" t="s">
        <v>1737</v>
      </c>
    </row>
    <row r="228" customFormat="false" ht="12.8" hidden="false" customHeight="false" outlineLevel="0" collapsed="false">
      <c r="A228" s="1" t="s">
        <v>17</v>
      </c>
      <c r="B228" s="1" t="s">
        <v>987</v>
      </c>
      <c r="C228" s="1" t="s">
        <v>19</v>
      </c>
      <c r="D228" s="1" t="s">
        <v>1738</v>
      </c>
      <c r="E228" s="1" t="s">
        <v>1738</v>
      </c>
      <c r="F228" s="1" t="s">
        <v>1739</v>
      </c>
      <c r="G228" s="1" t="s">
        <v>22</v>
      </c>
      <c r="H228" s="1" t="s">
        <v>1740</v>
      </c>
      <c r="I228" s="3" t="b">
        <f aca="false">FALSE()</f>
        <v>0</v>
      </c>
      <c r="J228" s="1" t="s">
        <v>1741</v>
      </c>
      <c r="K228" s="1" t="s">
        <v>126</v>
      </c>
      <c r="L228" s="1" t="s">
        <v>1674</v>
      </c>
      <c r="M228" s="1" t="s">
        <v>1742</v>
      </c>
      <c r="N228" s="1" t="s">
        <v>1743</v>
      </c>
      <c r="O228" s="1" t="s">
        <v>327</v>
      </c>
      <c r="P228" s="1" t="s">
        <v>312</v>
      </c>
      <c r="Q228" s="1" t="s">
        <v>1744</v>
      </c>
    </row>
    <row r="229" customFormat="false" ht="12.8" hidden="false" customHeight="false" outlineLevel="0" collapsed="false">
      <c r="A229" s="1" t="s">
        <v>17</v>
      </c>
      <c r="B229" s="1" t="s">
        <v>987</v>
      </c>
      <c r="C229" s="1" t="s">
        <v>19</v>
      </c>
      <c r="D229" s="1" t="s">
        <v>1745</v>
      </c>
      <c r="E229" s="1" t="s">
        <v>1745</v>
      </c>
      <c r="F229" s="1" t="s">
        <v>1746</v>
      </c>
      <c r="G229" s="1" t="s">
        <v>22</v>
      </c>
      <c r="H229" s="1" t="s">
        <v>1747</v>
      </c>
      <c r="I229" s="3" t="b">
        <f aca="false">FALSE()</f>
        <v>0</v>
      </c>
      <c r="J229" s="1" t="s">
        <v>1748</v>
      </c>
      <c r="K229" s="1" t="s">
        <v>365</v>
      </c>
      <c r="L229" s="1" t="s">
        <v>992</v>
      </c>
      <c r="M229" s="1" t="s">
        <v>1749</v>
      </c>
      <c r="N229" s="1" t="s">
        <v>179</v>
      </c>
      <c r="O229" s="1" t="s">
        <v>63</v>
      </c>
      <c r="P229" s="1" t="s">
        <v>1173</v>
      </c>
      <c r="Q229" s="1" t="s">
        <v>1750</v>
      </c>
    </row>
    <row r="230" customFormat="false" ht="12.8" hidden="false" customHeight="false" outlineLevel="0" collapsed="false">
      <c r="A230" s="1" t="s">
        <v>17</v>
      </c>
      <c r="B230" s="1" t="s">
        <v>987</v>
      </c>
      <c r="C230" s="1" t="s">
        <v>19</v>
      </c>
      <c r="D230" s="1" t="s">
        <v>1751</v>
      </c>
      <c r="E230" s="1" t="s">
        <v>1751</v>
      </c>
      <c r="F230" s="1" t="s">
        <v>1752</v>
      </c>
      <c r="G230" s="1" t="s">
        <v>22</v>
      </c>
      <c r="H230" s="1" t="s">
        <v>1753</v>
      </c>
      <c r="I230" s="3" t="b">
        <f aca="false">FALSE()</f>
        <v>0</v>
      </c>
      <c r="J230" s="1" t="s">
        <v>1754</v>
      </c>
      <c r="K230" s="1" t="s">
        <v>49</v>
      </c>
      <c r="L230" s="1" t="s">
        <v>983</v>
      </c>
      <c r="M230" s="1" t="s">
        <v>1755</v>
      </c>
      <c r="N230" s="1" t="s">
        <v>624</v>
      </c>
      <c r="O230" s="1" t="s">
        <v>780</v>
      </c>
      <c r="P230" s="1" t="s">
        <v>252</v>
      </c>
      <c r="Q230" s="1" t="s">
        <v>1756</v>
      </c>
    </row>
    <row r="231" customFormat="false" ht="12.8" hidden="false" customHeight="false" outlineLevel="0" collapsed="false">
      <c r="A231" s="1" t="s">
        <v>17</v>
      </c>
      <c r="B231" s="1" t="s">
        <v>987</v>
      </c>
      <c r="C231" s="1" t="s">
        <v>19</v>
      </c>
      <c r="D231" s="1" t="s">
        <v>1757</v>
      </c>
      <c r="E231" s="1" t="s">
        <v>1757</v>
      </c>
      <c r="F231" s="1" t="s">
        <v>1758</v>
      </c>
      <c r="G231" s="1" t="s">
        <v>22</v>
      </c>
      <c r="H231" s="1" t="s">
        <v>1759</v>
      </c>
      <c r="I231" s="3" t="b">
        <f aca="false">FALSE()</f>
        <v>0</v>
      </c>
      <c r="J231" s="1" t="s">
        <v>1760</v>
      </c>
      <c r="K231" s="1" t="s">
        <v>137</v>
      </c>
      <c r="L231" s="1" t="s">
        <v>1341</v>
      </c>
      <c r="M231" s="1" t="s">
        <v>1761</v>
      </c>
      <c r="N231" s="1" t="s">
        <v>1762</v>
      </c>
      <c r="O231" s="1" t="s">
        <v>1763</v>
      </c>
      <c r="P231" s="1" t="s">
        <v>312</v>
      </c>
      <c r="Q231" s="1" t="s">
        <v>1764</v>
      </c>
    </row>
    <row r="232" customFormat="false" ht="12.8" hidden="false" customHeight="false" outlineLevel="0" collapsed="false">
      <c r="A232" s="1" t="s">
        <v>17</v>
      </c>
      <c r="B232" s="1" t="s">
        <v>987</v>
      </c>
      <c r="C232" s="1" t="s">
        <v>19</v>
      </c>
      <c r="D232" s="1" t="s">
        <v>1765</v>
      </c>
      <c r="E232" s="1" t="s">
        <v>1765</v>
      </c>
      <c r="F232" s="1" t="s">
        <v>1766</v>
      </c>
      <c r="G232" s="1" t="s">
        <v>22</v>
      </c>
      <c r="H232" s="1" t="s">
        <v>1767</v>
      </c>
      <c r="I232" s="3" t="b">
        <f aca="false">FALSE()</f>
        <v>0</v>
      </c>
      <c r="J232" s="1" t="s">
        <v>1768</v>
      </c>
      <c r="K232" s="1" t="s">
        <v>365</v>
      </c>
      <c r="L232" s="1" t="s">
        <v>1769</v>
      </c>
      <c r="M232" s="1" t="s">
        <v>1770</v>
      </c>
      <c r="N232" s="1" t="s">
        <v>1771</v>
      </c>
      <c r="O232" s="1" t="s">
        <v>342</v>
      </c>
      <c r="P232" s="1" t="s">
        <v>1173</v>
      </c>
      <c r="Q232" s="1" t="s">
        <v>1772</v>
      </c>
    </row>
    <row r="233" customFormat="false" ht="12.8" hidden="false" customHeight="false" outlineLevel="0" collapsed="false">
      <c r="A233" s="1" t="s">
        <v>17</v>
      </c>
      <c r="B233" s="1" t="s">
        <v>987</v>
      </c>
      <c r="C233" s="1" t="s">
        <v>19</v>
      </c>
      <c r="D233" s="1" t="s">
        <v>1773</v>
      </c>
      <c r="E233" s="1" t="s">
        <v>1773</v>
      </c>
      <c r="F233" s="1" t="s">
        <v>1774</v>
      </c>
      <c r="G233" s="1" t="s">
        <v>22</v>
      </c>
      <c r="H233" s="1" t="s">
        <v>1775</v>
      </c>
      <c r="I233" s="3" t="b">
        <f aca="false">FALSE()</f>
        <v>0</v>
      </c>
      <c r="J233" s="1" t="s">
        <v>1776</v>
      </c>
      <c r="K233" s="1" t="s">
        <v>197</v>
      </c>
      <c r="L233" s="1" t="s">
        <v>177</v>
      </c>
      <c r="M233" s="1" t="s">
        <v>1777</v>
      </c>
      <c r="N233" s="1" t="s">
        <v>119</v>
      </c>
      <c r="O233" s="1" t="s">
        <v>119</v>
      </c>
      <c r="P233" s="1" t="s">
        <v>181</v>
      </c>
      <c r="Q233" s="1" t="s">
        <v>1778</v>
      </c>
    </row>
    <row r="234" customFormat="false" ht="12.8" hidden="false" customHeight="false" outlineLevel="0" collapsed="false">
      <c r="A234" s="1" t="s">
        <v>17</v>
      </c>
      <c r="B234" s="1" t="s">
        <v>987</v>
      </c>
      <c r="C234" s="1" t="s">
        <v>19</v>
      </c>
      <c r="D234" s="1" t="s">
        <v>1779</v>
      </c>
      <c r="E234" s="1" t="s">
        <v>1779</v>
      </c>
      <c r="F234" s="1" t="s">
        <v>1780</v>
      </c>
      <c r="G234" s="1" t="s">
        <v>22</v>
      </c>
      <c r="H234" s="1" t="s">
        <v>1781</v>
      </c>
      <c r="I234" s="3" t="b">
        <f aca="false">FALSE()</f>
        <v>0</v>
      </c>
      <c r="J234" s="1" t="s">
        <v>1782</v>
      </c>
      <c r="K234" s="1" t="s">
        <v>197</v>
      </c>
      <c r="L234" s="1" t="s">
        <v>1783</v>
      </c>
      <c r="M234" s="1" t="s">
        <v>1784</v>
      </c>
      <c r="N234" s="1" t="s">
        <v>1785</v>
      </c>
      <c r="O234" s="1" t="s">
        <v>1786</v>
      </c>
      <c r="P234" s="1" t="s">
        <v>1173</v>
      </c>
      <c r="Q234" s="1" t="s">
        <v>1787</v>
      </c>
    </row>
    <row r="235" customFormat="false" ht="12.8" hidden="false" customHeight="false" outlineLevel="0" collapsed="false">
      <c r="A235" s="1" t="s">
        <v>17</v>
      </c>
      <c r="B235" s="1" t="s">
        <v>987</v>
      </c>
      <c r="C235" s="1" t="s">
        <v>19</v>
      </c>
      <c r="D235" s="1" t="s">
        <v>1788</v>
      </c>
      <c r="E235" s="1" t="s">
        <v>1788</v>
      </c>
      <c r="F235" s="1" t="s">
        <v>1789</v>
      </c>
      <c r="G235" s="1" t="s">
        <v>22</v>
      </c>
      <c r="H235" s="1" t="s">
        <v>1790</v>
      </c>
      <c r="I235" s="3" t="b">
        <f aca="false">FALSE()</f>
        <v>0</v>
      </c>
      <c r="J235" s="1" t="s">
        <v>1791</v>
      </c>
      <c r="K235" s="1" t="s">
        <v>137</v>
      </c>
      <c r="L235" s="1" t="s">
        <v>1341</v>
      </c>
      <c r="M235" s="1" t="s">
        <v>1792</v>
      </c>
      <c r="N235" s="1" t="s">
        <v>1344</v>
      </c>
      <c r="O235" s="1" t="s">
        <v>1498</v>
      </c>
      <c r="P235" s="1" t="s">
        <v>270</v>
      </c>
      <c r="Q235" s="1" t="s">
        <v>1793</v>
      </c>
    </row>
    <row r="236" customFormat="false" ht="12.8" hidden="false" customHeight="false" outlineLevel="0" collapsed="false">
      <c r="A236" s="1" t="s">
        <v>17</v>
      </c>
      <c r="B236" s="1" t="s">
        <v>987</v>
      </c>
      <c r="C236" s="1" t="s">
        <v>19</v>
      </c>
      <c r="D236" s="1" t="s">
        <v>1794</v>
      </c>
      <c r="E236" s="1" t="s">
        <v>1794</v>
      </c>
      <c r="F236" s="1" t="s">
        <v>1795</v>
      </c>
      <c r="G236" s="1" t="s">
        <v>35</v>
      </c>
      <c r="H236" s="1" t="s">
        <v>1796</v>
      </c>
      <c r="I236" s="3" t="b">
        <f aca="false">FALSE()</f>
        <v>0</v>
      </c>
      <c r="J236" s="1" t="s">
        <v>1797</v>
      </c>
      <c r="K236" s="1" t="s">
        <v>77</v>
      </c>
      <c r="L236" s="1" t="s">
        <v>84</v>
      </c>
      <c r="M236" s="1" t="s">
        <v>1798</v>
      </c>
      <c r="N236" s="1" t="s">
        <v>101</v>
      </c>
      <c r="O236" s="1" t="s">
        <v>101</v>
      </c>
      <c r="P236" s="1" t="s">
        <v>43</v>
      </c>
      <c r="Q236" s="1" t="s">
        <v>1799</v>
      </c>
    </row>
    <row r="237" customFormat="false" ht="12.8" hidden="false" customHeight="false" outlineLevel="0" collapsed="false">
      <c r="A237" s="1" t="s">
        <v>17</v>
      </c>
      <c r="B237" s="1" t="s">
        <v>987</v>
      </c>
      <c r="C237" s="1" t="s">
        <v>19</v>
      </c>
      <c r="D237" s="1" t="s">
        <v>1800</v>
      </c>
      <c r="E237" s="1" t="s">
        <v>1800</v>
      </c>
      <c r="F237" s="1" t="s">
        <v>1801</v>
      </c>
      <c r="G237" s="1" t="s">
        <v>22</v>
      </c>
      <c r="H237" s="1" t="s">
        <v>1802</v>
      </c>
      <c r="I237" s="3" t="b">
        <f aca="false">FALSE()</f>
        <v>0</v>
      </c>
      <c r="J237" s="1" t="s">
        <v>1803</v>
      </c>
      <c r="K237" s="1" t="s">
        <v>126</v>
      </c>
      <c r="L237" s="1" t="s">
        <v>167</v>
      </c>
      <c r="M237" s="1" t="s">
        <v>1804</v>
      </c>
      <c r="N237" s="1" t="s">
        <v>681</v>
      </c>
      <c r="O237" s="1" t="s">
        <v>817</v>
      </c>
      <c r="P237" s="1" t="s">
        <v>1263</v>
      </c>
      <c r="Q237" s="1" t="s">
        <v>1805</v>
      </c>
    </row>
    <row r="238" customFormat="false" ht="12.8" hidden="false" customHeight="false" outlineLevel="0" collapsed="false">
      <c r="A238" s="1" t="s">
        <v>17</v>
      </c>
      <c r="B238" s="1" t="s">
        <v>987</v>
      </c>
      <c r="C238" s="1" t="s">
        <v>19</v>
      </c>
      <c r="D238" s="1" t="s">
        <v>1806</v>
      </c>
      <c r="E238" s="1" t="s">
        <v>1806</v>
      </c>
      <c r="F238" s="1" t="s">
        <v>1807</v>
      </c>
      <c r="G238" s="1" t="s">
        <v>22</v>
      </c>
      <c r="H238" s="1" t="s">
        <v>1808</v>
      </c>
      <c r="I238" s="3" t="b">
        <f aca="false">FALSE()</f>
        <v>0</v>
      </c>
      <c r="J238" s="1" t="s">
        <v>1809</v>
      </c>
      <c r="K238" s="1" t="s">
        <v>49</v>
      </c>
      <c r="L238" s="1" t="s">
        <v>1284</v>
      </c>
      <c r="M238" s="1" t="s">
        <v>1810</v>
      </c>
      <c r="N238" s="1" t="s">
        <v>393</v>
      </c>
      <c r="O238" s="1" t="s">
        <v>42</v>
      </c>
      <c r="P238" s="1" t="s">
        <v>181</v>
      </c>
      <c r="Q238" s="1" t="s">
        <v>1811</v>
      </c>
    </row>
    <row r="239" customFormat="false" ht="12.8" hidden="false" customHeight="false" outlineLevel="0" collapsed="false">
      <c r="A239" s="1" t="s">
        <v>17</v>
      </c>
      <c r="B239" s="1" t="s">
        <v>987</v>
      </c>
      <c r="C239" s="1" t="s">
        <v>19</v>
      </c>
      <c r="D239" s="1" t="s">
        <v>1812</v>
      </c>
      <c r="E239" s="1" t="s">
        <v>1812</v>
      </c>
      <c r="F239" s="1" t="s">
        <v>1813</v>
      </c>
      <c r="G239" s="1" t="s">
        <v>22</v>
      </c>
      <c r="H239" s="1" t="s">
        <v>1814</v>
      </c>
      <c r="I239" s="3" t="b">
        <f aca="false">FALSE()</f>
        <v>0</v>
      </c>
      <c r="J239" s="1" t="s">
        <v>1815</v>
      </c>
      <c r="K239" s="1" t="s">
        <v>293</v>
      </c>
      <c r="L239" s="1" t="s">
        <v>188</v>
      </c>
      <c r="M239" s="1" t="s">
        <v>1816</v>
      </c>
      <c r="N239" s="1" t="s">
        <v>1817</v>
      </c>
      <c r="O239" s="1" t="s">
        <v>1818</v>
      </c>
      <c r="P239" s="1" t="s">
        <v>101</v>
      </c>
      <c r="Q239" s="1" t="s">
        <v>1819</v>
      </c>
    </row>
    <row r="240" customFormat="false" ht="12.8" hidden="false" customHeight="false" outlineLevel="0" collapsed="false">
      <c r="A240" s="1" t="s">
        <v>17</v>
      </c>
      <c r="B240" s="1" t="s">
        <v>987</v>
      </c>
      <c r="C240" s="1" t="s">
        <v>19</v>
      </c>
      <c r="D240" s="1" t="s">
        <v>1820</v>
      </c>
      <c r="E240" s="1" t="s">
        <v>1820</v>
      </c>
      <c r="F240" s="1" t="s">
        <v>1821</v>
      </c>
      <c r="G240" s="1" t="s">
        <v>22</v>
      </c>
      <c r="H240" s="1" t="s">
        <v>1822</v>
      </c>
      <c r="I240" s="3" t="b">
        <f aca="false">FALSE()</f>
        <v>0</v>
      </c>
      <c r="J240" s="1" t="s">
        <v>1823</v>
      </c>
      <c r="K240" s="1" t="s">
        <v>49</v>
      </c>
      <c r="L240" s="1" t="s">
        <v>1769</v>
      </c>
      <c r="M240" s="1" t="s">
        <v>1824</v>
      </c>
      <c r="N240" s="1" t="s">
        <v>29</v>
      </c>
      <c r="O240" s="1" t="s">
        <v>902</v>
      </c>
      <c r="P240" s="1" t="s">
        <v>252</v>
      </c>
      <c r="Q240" s="1" t="s">
        <v>1825</v>
      </c>
    </row>
    <row r="241" customFormat="false" ht="12.8" hidden="false" customHeight="false" outlineLevel="0" collapsed="false">
      <c r="A241" s="1" t="s">
        <v>17</v>
      </c>
      <c r="B241" s="1" t="s">
        <v>987</v>
      </c>
      <c r="C241" s="1" t="s">
        <v>19</v>
      </c>
      <c r="D241" s="1" t="s">
        <v>1826</v>
      </c>
      <c r="E241" s="1" t="s">
        <v>1826</v>
      </c>
      <c r="F241" s="1" t="s">
        <v>1827</v>
      </c>
      <c r="G241" s="1" t="s">
        <v>22</v>
      </c>
      <c r="H241" s="1" t="s">
        <v>1828</v>
      </c>
      <c r="I241" s="3" t="b">
        <f aca="false">FALSE()</f>
        <v>0</v>
      </c>
      <c r="J241" s="1" t="s">
        <v>1829</v>
      </c>
      <c r="K241" s="1" t="s">
        <v>365</v>
      </c>
      <c r="L241" s="1" t="s">
        <v>1830</v>
      </c>
      <c r="M241" s="1" t="s">
        <v>1831</v>
      </c>
      <c r="N241" s="1" t="s">
        <v>130</v>
      </c>
      <c r="O241" s="1" t="s">
        <v>101</v>
      </c>
      <c r="P241" s="1" t="s">
        <v>270</v>
      </c>
      <c r="Q241" s="1" t="s">
        <v>1832</v>
      </c>
    </row>
    <row r="242" customFormat="false" ht="12.8" hidden="false" customHeight="false" outlineLevel="0" collapsed="false">
      <c r="A242" s="1" t="s">
        <v>17</v>
      </c>
      <c r="B242" s="1" t="s">
        <v>987</v>
      </c>
      <c r="C242" s="1" t="s">
        <v>19</v>
      </c>
      <c r="D242" s="1" t="s">
        <v>1833</v>
      </c>
      <c r="E242" s="1" t="s">
        <v>1833</v>
      </c>
      <c r="F242" s="1" t="s">
        <v>1834</v>
      </c>
      <c r="G242" s="1" t="s">
        <v>22</v>
      </c>
      <c r="H242" s="1" t="s">
        <v>1835</v>
      </c>
      <c r="I242" s="3" t="b">
        <f aca="false">FALSE()</f>
        <v>0</v>
      </c>
      <c r="J242" s="1" t="s">
        <v>1836</v>
      </c>
      <c r="K242" s="1" t="s">
        <v>147</v>
      </c>
      <c r="L242" s="1" t="s">
        <v>333</v>
      </c>
      <c r="M242" s="1" t="s">
        <v>1837</v>
      </c>
      <c r="N242" s="1" t="s">
        <v>824</v>
      </c>
      <c r="O242" s="1" t="s">
        <v>824</v>
      </c>
      <c r="P242" s="1" t="s">
        <v>1050</v>
      </c>
      <c r="Q242" s="1" t="s">
        <v>1838</v>
      </c>
    </row>
    <row r="243" customFormat="false" ht="12.8" hidden="false" customHeight="false" outlineLevel="0" collapsed="false">
      <c r="A243" s="1" t="s">
        <v>17</v>
      </c>
      <c r="B243" s="1" t="s">
        <v>987</v>
      </c>
      <c r="C243" s="1" t="s">
        <v>19</v>
      </c>
      <c r="D243" s="1" t="s">
        <v>1839</v>
      </c>
      <c r="E243" s="1" t="s">
        <v>1839</v>
      </c>
      <c r="F243" s="1" t="s">
        <v>1840</v>
      </c>
      <c r="G243" s="1" t="s">
        <v>22</v>
      </c>
      <c r="H243" s="1" t="s">
        <v>1841</v>
      </c>
      <c r="I243" s="3" t="b">
        <f aca="false">FALSE()</f>
        <v>0</v>
      </c>
      <c r="J243" s="1" t="s">
        <v>1842</v>
      </c>
      <c r="K243" s="1" t="s">
        <v>137</v>
      </c>
      <c r="L243" s="1" t="s">
        <v>1210</v>
      </c>
      <c r="M243" s="1" t="s">
        <v>1843</v>
      </c>
      <c r="N243" s="1" t="s">
        <v>1115</v>
      </c>
      <c r="O243" s="1" t="s">
        <v>1736</v>
      </c>
      <c r="P243" s="1" t="s">
        <v>181</v>
      </c>
      <c r="Q243" s="1" t="s">
        <v>1844</v>
      </c>
    </row>
    <row r="244" customFormat="false" ht="12.8" hidden="false" customHeight="false" outlineLevel="0" collapsed="false">
      <c r="A244" s="1" t="s">
        <v>17</v>
      </c>
      <c r="B244" s="1" t="s">
        <v>987</v>
      </c>
      <c r="C244" s="1" t="s">
        <v>19</v>
      </c>
      <c r="D244" s="1" t="s">
        <v>1845</v>
      </c>
      <c r="E244" s="1" t="s">
        <v>1845</v>
      </c>
      <c r="F244" s="1" t="s">
        <v>1846</v>
      </c>
      <c r="G244" s="1" t="s">
        <v>22</v>
      </c>
      <c r="H244" s="1" t="s">
        <v>1847</v>
      </c>
      <c r="I244" s="3" t="b">
        <f aca="false">FALSE()</f>
        <v>0</v>
      </c>
      <c r="J244" s="1" t="s">
        <v>1848</v>
      </c>
      <c r="K244" s="1" t="s">
        <v>293</v>
      </c>
      <c r="L244" s="1" t="s">
        <v>1783</v>
      </c>
      <c r="M244" s="1" t="s">
        <v>1849</v>
      </c>
      <c r="N244" s="1" t="s">
        <v>119</v>
      </c>
      <c r="O244" s="1" t="s">
        <v>216</v>
      </c>
      <c r="P244" s="1" t="s">
        <v>761</v>
      </c>
      <c r="Q244" s="1" t="s">
        <v>1850</v>
      </c>
    </row>
    <row r="245" customFormat="false" ht="12.8" hidden="false" customHeight="false" outlineLevel="0" collapsed="false">
      <c r="A245" s="1" t="s">
        <v>17</v>
      </c>
      <c r="B245" s="1" t="s">
        <v>987</v>
      </c>
      <c r="C245" s="1" t="s">
        <v>19</v>
      </c>
      <c r="D245" s="1" t="s">
        <v>1851</v>
      </c>
      <c r="E245" s="1" t="s">
        <v>1851</v>
      </c>
      <c r="F245" s="1" t="s">
        <v>1852</v>
      </c>
      <c r="G245" s="1" t="s">
        <v>22</v>
      </c>
      <c r="H245" s="1" t="s">
        <v>1853</v>
      </c>
      <c r="I245" s="3" t="b">
        <f aca="false">FALSE()</f>
        <v>0</v>
      </c>
      <c r="J245" s="1" t="s">
        <v>1854</v>
      </c>
      <c r="K245" s="1" t="s">
        <v>25</v>
      </c>
      <c r="L245" s="1" t="s">
        <v>1855</v>
      </c>
      <c r="M245" s="1" t="s">
        <v>1856</v>
      </c>
      <c r="N245" s="1" t="s">
        <v>895</v>
      </c>
      <c r="O245" s="1" t="s">
        <v>895</v>
      </c>
      <c r="P245" s="1" t="s">
        <v>601</v>
      </c>
      <c r="Q245" s="1" t="s">
        <v>1857</v>
      </c>
    </row>
    <row r="246" customFormat="false" ht="12.8" hidden="false" customHeight="false" outlineLevel="0" collapsed="false">
      <c r="A246" s="1" t="s">
        <v>17</v>
      </c>
      <c r="B246" s="1" t="s">
        <v>987</v>
      </c>
      <c r="C246" s="1" t="s">
        <v>19</v>
      </c>
      <c r="D246" s="1" t="s">
        <v>1858</v>
      </c>
      <c r="E246" s="1" t="s">
        <v>1858</v>
      </c>
      <c r="F246" s="1" t="s">
        <v>1859</v>
      </c>
      <c r="G246" s="1" t="s">
        <v>22</v>
      </c>
      <c r="H246" s="1" t="s">
        <v>1860</v>
      </c>
      <c r="I246" s="3" t="b">
        <f aca="false">FALSE()</f>
        <v>0</v>
      </c>
      <c r="J246" s="1" t="s">
        <v>1861</v>
      </c>
      <c r="K246" s="1" t="s">
        <v>49</v>
      </c>
      <c r="L246" s="1" t="s">
        <v>1862</v>
      </c>
      <c r="M246" s="1" t="s">
        <v>1863</v>
      </c>
      <c r="N246" s="1" t="s">
        <v>1864</v>
      </c>
      <c r="O246" s="1" t="s">
        <v>1865</v>
      </c>
      <c r="P246" s="1" t="s">
        <v>772</v>
      </c>
      <c r="Q246" s="1" t="s">
        <v>1866</v>
      </c>
    </row>
    <row r="247" customFormat="false" ht="12.8" hidden="false" customHeight="false" outlineLevel="0" collapsed="false">
      <c r="A247" s="1" t="s">
        <v>17</v>
      </c>
      <c r="B247" s="1" t="s">
        <v>987</v>
      </c>
      <c r="C247" s="1" t="s">
        <v>19</v>
      </c>
      <c r="D247" s="1" t="s">
        <v>1867</v>
      </c>
      <c r="E247" s="1" t="s">
        <v>1867</v>
      </c>
      <c r="F247" s="1" t="s">
        <v>1868</v>
      </c>
      <c r="G247" s="1" t="s">
        <v>22</v>
      </c>
      <c r="H247" s="1" t="s">
        <v>1869</v>
      </c>
      <c r="I247" s="3" t="b">
        <f aca="false">FALSE()</f>
        <v>0</v>
      </c>
      <c r="J247" s="1" t="s">
        <v>1870</v>
      </c>
      <c r="K247" s="1" t="s">
        <v>239</v>
      </c>
      <c r="L247" s="1" t="s">
        <v>1098</v>
      </c>
      <c r="M247" s="1" t="s">
        <v>1871</v>
      </c>
      <c r="N247" s="1" t="s">
        <v>1872</v>
      </c>
      <c r="O247" s="1" t="s">
        <v>1873</v>
      </c>
      <c r="P247" s="1" t="s">
        <v>261</v>
      </c>
      <c r="Q247" s="1" t="s">
        <v>1874</v>
      </c>
    </row>
    <row r="248" customFormat="false" ht="12.8" hidden="false" customHeight="false" outlineLevel="0" collapsed="false">
      <c r="A248" s="1" t="s">
        <v>17</v>
      </c>
      <c r="B248" s="1" t="s">
        <v>987</v>
      </c>
      <c r="C248" s="1" t="s">
        <v>19</v>
      </c>
      <c r="D248" s="1" t="s">
        <v>1875</v>
      </c>
      <c r="E248" s="1" t="s">
        <v>1875</v>
      </c>
      <c r="F248" s="1" t="s">
        <v>1876</v>
      </c>
      <c r="G248" s="1" t="s">
        <v>22</v>
      </c>
      <c r="H248" s="1" t="s">
        <v>1877</v>
      </c>
      <c r="I248" s="3" t="b">
        <f aca="false">FALSE()</f>
        <v>0</v>
      </c>
      <c r="J248" s="1" t="s">
        <v>1878</v>
      </c>
      <c r="K248" s="1" t="s">
        <v>147</v>
      </c>
      <c r="L248" s="1" t="s">
        <v>1879</v>
      </c>
      <c r="M248" s="1" t="s">
        <v>1880</v>
      </c>
      <c r="N248" s="1" t="s">
        <v>780</v>
      </c>
      <c r="O248" s="1" t="s">
        <v>351</v>
      </c>
      <c r="P248" s="1" t="s">
        <v>352</v>
      </c>
      <c r="Q248" s="1" t="s">
        <v>1881</v>
      </c>
    </row>
    <row r="249" customFormat="false" ht="12.8" hidden="false" customHeight="false" outlineLevel="0" collapsed="false">
      <c r="A249" s="1" t="s">
        <v>17</v>
      </c>
      <c r="B249" s="1" t="s">
        <v>987</v>
      </c>
      <c r="C249" s="1" t="s">
        <v>19</v>
      </c>
      <c r="D249" s="1" t="s">
        <v>1882</v>
      </c>
      <c r="E249" s="1" t="s">
        <v>1882</v>
      </c>
      <c r="F249" s="1" t="s">
        <v>1883</v>
      </c>
      <c r="G249" s="1" t="s">
        <v>22</v>
      </c>
      <c r="H249" s="1" t="s">
        <v>1884</v>
      </c>
      <c r="I249" s="3" t="b">
        <f aca="false">FALSE()</f>
        <v>0</v>
      </c>
      <c r="J249" s="1" t="s">
        <v>1885</v>
      </c>
      <c r="K249" s="1" t="s">
        <v>49</v>
      </c>
      <c r="L249" s="1" t="s">
        <v>1227</v>
      </c>
      <c r="M249" s="1" t="s">
        <v>1886</v>
      </c>
      <c r="N249" s="1" t="s">
        <v>518</v>
      </c>
      <c r="O249" s="1" t="s">
        <v>342</v>
      </c>
      <c r="P249" s="1" t="s">
        <v>1547</v>
      </c>
      <c r="Q249" s="1" t="s">
        <v>1887</v>
      </c>
    </row>
    <row r="250" customFormat="false" ht="12.8" hidden="false" customHeight="false" outlineLevel="0" collapsed="false">
      <c r="A250" s="1" t="s">
        <v>17</v>
      </c>
      <c r="B250" s="1" t="s">
        <v>987</v>
      </c>
      <c r="C250" s="1" t="s">
        <v>19</v>
      </c>
      <c r="D250" s="1" t="s">
        <v>1888</v>
      </c>
      <c r="E250" s="1" t="s">
        <v>1888</v>
      </c>
      <c r="F250" s="1" t="s">
        <v>1889</v>
      </c>
      <c r="G250" s="1" t="s">
        <v>22</v>
      </c>
      <c r="H250" s="1" t="s">
        <v>1890</v>
      </c>
      <c r="I250" s="3" t="b">
        <f aca="false">FALSE()</f>
        <v>0</v>
      </c>
      <c r="J250" s="1" t="s">
        <v>1891</v>
      </c>
      <c r="K250" s="1" t="s">
        <v>147</v>
      </c>
      <c r="L250" s="1" t="s">
        <v>127</v>
      </c>
      <c r="M250" s="1" t="s">
        <v>1892</v>
      </c>
      <c r="N250" s="1" t="s">
        <v>824</v>
      </c>
      <c r="O250" s="1" t="s">
        <v>108</v>
      </c>
      <c r="P250" s="1" t="s">
        <v>1050</v>
      </c>
      <c r="Q250" s="1" t="s">
        <v>1893</v>
      </c>
    </row>
    <row r="251" customFormat="false" ht="12.8" hidden="false" customHeight="false" outlineLevel="0" collapsed="false">
      <c r="A251" s="1" t="s">
        <v>17</v>
      </c>
      <c r="B251" s="1" t="s">
        <v>987</v>
      </c>
      <c r="C251" s="1" t="s">
        <v>19</v>
      </c>
      <c r="D251" s="1" t="s">
        <v>1894</v>
      </c>
      <c r="E251" s="1" t="s">
        <v>1894</v>
      </c>
      <c r="F251" s="1" t="s">
        <v>1895</v>
      </c>
      <c r="G251" s="1" t="s">
        <v>22</v>
      </c>
      <c r="H251" s="1" t="s">
        <v>1896</v>
      </c>
      <c r="I251" s="3" t="b">
        <f aca="false">FALSE()</f>
        <v>0</v>
      </c>
      <c r="J251" s="1" t="s">
        <v>1897</v>
      </c>
      <c r="K251" s="1" t="s">
        <v>197</v>
      </c>
      <c r="L251" s="1" t="s">
        <v>1898</v>
      </c>
      <c r="M251" s="1" t="s">
        <v>1899</v>
      </c>
      <c r="N251" s="1" t="s">
        <v>1900</v>
      </c>
      <c r="O251" s="1" t="s">
        <v>1328</v>
      </c>
      <c r="P251" s="1" t="s">
        <v>270</v>
      </c>
      <c r="Q251" s="1" t="s">
        <v>1901</v>
      </c>
    </row>
    <row r="252" customFormat="false" ht="12.8" hidden="false" customHeight="false" outlineLevel="0" collapsed="false">
      <c r="A252" s="1" t="s">
        <v>17</v>
      </c>
      <c r="B252" s="1" t="s">
        <v>987</v>
      </c>
      <c r="C252" s="1" t="s">
        <v>19</v>
      </c>
      <c r="D252" s="1" t="s">
        <v>1902</v>
      </c>
      <c r="E252" s="1" t="s">
        <v>1902</v>
      </c>
      <c r="F252" s="1" t="s">
        <v>1903</v>
      </c>
      <c r="G252" s="1" t="s">
        <v>22</v>
      </c>
      <c r="H252" s="1" t="s">
        <v>1904</v>
      </c>
      <c r="I252" s="3" t="b">
        <f aca="false">FALSE()</f>
        <v>0</v>
      </c>
      <c r="J252" s="1" t="s">
        <v>1905</v>
      </c>
      <c r="K252" s="1" t="s">
        <v>197</v>
      </c>
      <c r="L252" s="1" t="s">
        <v>1906</v>
      </c>
      <c r="M252" s="1" t="s">
        <v>1907</v>
      </c>
      <c r="N252" s="1" t="s">
        <v>902</v>
      </c>
      <c r="O252" s="1" t="s">
        <v>470</v>
      </c>
      <c r="P252" s="1" t="s">
        <v>698</v>
      </c>
      <c r="Q252" s="1" t="s">
        <v>1908</v>
      </c>
    </row>
    <row r="253" customFormat="false" ht="12.8" hidden="false" customHeight="false" outlineLevel="0" collapsed="false">
      <c r="A253" s="1" t="s">
        <v>17</v>
      </c>
      <c r="B253" s="1" t="s">
        <v>987</v>
      </c>
      <c r="C253" s="1" t="s">
        <v>19</v>
      </c>
      <c r="D253" s="1" t="s">
        <v>1909</v>
      </c>
      <c r="E253" s="1" t="s">
        <v>1909</v>
      </c>
      <c r="F253" s="1" t="s">
        <v>1910</v>
      </c>
      <c r="G253" s="1" t="s">
        <v>22</v>
      </c>
      <c r="H253" s="1" t="s">
        <v>1911</v>
      </c>
      <c r="I253" s="3" t="b">
        <f aca="false">FALSE()</f>
        <v>0</v>
      </c>
      <c r="J253" s="1" t="s">
        <v>1912</v>
      </c>
      <c r="K253" s="1" t="s">
        <v>25</v>
      </c>
      <c r="L253" s="1" t="s">
        <v>1913</v>
      </c>
      <c r="M253" s="1" t="s">
        <v>1914</v>
      </c>
      <c r="N253" s="1" t="s">
        <v>1915</v>
      </c>
      <c r="O253" s="1" t="s">
        <v>342</v>
      </c>
      <c r="P253" s="1" t="s">
        <v>181</v>
      </c>
      <c r="Q253" s="1" t="s">
        <v>1916</v>
      </c>
    </row>
    <row r="254" customFormat="false" ht="12.8" hidden="false" customHeight="false" outlineLevel="0" collapsed="false">
      <c r="A254" s="1" t="s">
        <v>17</v>
      </c>
      <c r="B254" s="1" t="s">
        <v>987</v>
      </c>
      <c r="C254" s="1" t="s">
        <v>19</v>
      </c>
      <c r="D254" s="1" t="s">
        <v>1917</v>
      </c>
      <c r="E254" s="1" t="s">
        <v>1917</v>
      </c>
      <c r="F254" s="1" t="s">
        <v>1918</v>
      </c>
      <c r="G254" s="1" t="s">
        <v>22</v>
      </c>
      <c r="H254" s="1" t="s">
        <v>1919</v>
      </c>
      <c r="I254" s="3" t="b">
        <f aca="false">FALSE()</f>
        <v>0</v>
      </c>
      <c r="J254" s="1" t="s">
        <v>1920</v>
      </c>
      <c r="K254" s="1" t="s">
        <v>147</v>
      </c>
      <c r="L254" s="1" t="s">
        <v>158</v>
      </c>
      <c r="M254" s="1" t="s">
        <v>1921</v>
      </c>
      <c r="N254" s="1" t="s">
        <v>824</v>
      </c>
      <c r="O254" s="1" t="s">
        <v>824</v>
      </c>
      <c r="P254" s="1" t="s">
        <v>1050</v>
      </c>
      <c r="Q254" s="1" t="s">
        <v>1922</v>
      </c>
    </row>
    <row r="255" customFormat="false" ht="12.8" hidden="false" customHeight="false" outlineLevel="0" collapsed="false">
      <c r="A255" s="1" t="s">
        <v>17</v>
      </c>
      <c r="B255" s="1" t="s">
        <v>987</v>
      </c>
      <c r="C255" s="1" t="s">
        <v>19</v>
      </c>
      <c r="D255" s="1" t="s">
        <v>1923</v>
      </c>
      <c r="E255" s="1" t="s">
        <v>1923</v>
      </c>
      <c r="F255" s="1" t="s">
        <v>1924</v>
      </c>
      <c r="G255" s="1" t="s">
        <v>22</v>
      </c>
      <c r="H255" s="1" t="s">
        <v>1925</v>
      </c>
      <c r="I255" s="3" t="b">
        <f aca="false">FALSE()</f>
        <v>0</v>
      </c>
      <c r="J255" s="1" t="s">
        <v>1926</v>
      </c>
      <c r="K255" s="1" t="s">
        <v>239</v>
      </c>
      <c r="L255" s="1" t="s">
        <v>861</v>
      </c>
      <c r="M255" s="1" t="s">
        <v>1927</v>
      </c>
      <c r="N255" s="1" t="s">
        <v>470</v>
      </c>
      <c r="O255" s="1" t="s">
        <v>242</v>
      </c>
      <c r="P255" s="1" t="s">
        <v>30</v>
      </c>
      <c r="Q255" s="1" t="s">
        <v>1928</v>
      </c>
    </row>
    <row r="256" customFormat="false" ht="12.8" hidden="false" customHeight="false" outlineLevel="0" collapsed="false">
      <c r="A256" s="1" t="s">
        <v>17</v>
      </c>
      <c r="B256" s="1" t="s">
        <v>987</v>
      </c>
      <c r="C256" s="1" t="s">
        <v>19</v>
      </c>
      <c r="D256" s="1" t="s">
        <v>1929</v>
      </c>
      <c r="E256" s="1" t="s">
        <v>1929</v>
      </c>
      <c r="F256" s="1" t="s">
        <v>1930</v>
      </c>
      <c r="G256" s="1" t="s">
        <v>22</v>
      </c>
      <c r="H256" s="1" t="s">
        <v>1931</v>
      </c>
      <c r="I256" s="3" t="b">
        <f aca="false">FALSE()</f>
        <v>0</v>
      </c>
      <c r="J256" s="1" t="s">
        <v>1932</v>
      </c>
      <c r="K256" s="1" t="s">
        <v>197</v>
      </c>
      <c r="L256" s="1" t="s">
        <v>1933</v>
      </c>
      <c r="M256" s="1" t="s">
        <v>1934</v>
      </c>
      <c r="N256" s="1" t="s">
        <v>377</v>
      </c>
      <c r="O256" s="1" t="s">
        <v>470</v>
      </c>
      <c r="P256" s="1" t="s">
        <v>762</v>
      </c>
      <c r="Q256" s="1" t="s">
        <v>1935</v>
      </c>
    </row>
    <row r="257" customFormat="false" ht="12.8" hidden="false" customHeight="false" outlineLevel="0" collapsed="false">
      <c r="A257" s="1" t="s">
        <v>17</v>
      </c>
      <c r="B257" s="1" t="s">
        <v>987</v>
      </c>
      <c r="C257" s="1" t="s">
        <v>19</v>
      </c>
      <c r="D257" s="1" t="s">
        <v>1936</v>
      </c>
      <c r="E257" s="1" t="s">
        <v>1936</v>
      </c>
      <c r="F257" s="1" t="s">
        <v>1937</v>
      </c>
      <c r="G257" s="1" t="s">
        <v>22</v>
      </c>
      <c r="H257" s="1" t="s">
        <v>1938</v>
      </c>
      <c r="I257" s="3" t="b">
        <f aca="false">FALSE()</f>
        <v>0</v>
      </c>
      <c r="J257" s="1" t="s">
        <v>1939</v>
      </c>
      <c r="K257" s="1" t="s">
        <v>365</v>
      </c>
      <c r="L257" s="1" t="s">
        <v>1365</v>
      </c>
      <c r="M257" s="1" t="s">
        <v>1940</v>
      </c>
      <c r="N257" s="1" t="s">
        <v>518</v>
      </c>
      <c r="O257" s="1" t="s">
        <v>42</v>
      </c>
      <c r="P257" s="1" t="s">
        <v>181</v>
      </c>
      <c r="Q257" s="1" t="s">
        <v>1941</v>
      </c>
    </row>
    <row r="258" customFormat="false" ht="12.8" hidden="false" customHeight="false" outlineLevel="0" collapsed="false">
      <c r="A258" s="1" t="s">
        <v>17</v>
      </c>
      <c r="B258" s="1" t="s">
        <v>987</v>
      </c>
      <c r="C258" s="1" t="s">
        <v>19</v>
      </c>
      <c r="D258" s="1" t="s">
        <v>1942</v>
      </c>
      <c r="E258" s="1" t="s">
        <v>1942</v>
      </c>
      <c r="F258" s="1" t="s">
        <v>1943</v>
      </c>
      <c r="G258" s="1" t="s">
        <v>22</v>
      </c>
      <c r="H258" s="1" t="s">
        <v>1944</v>
      </c>
      <c r="I258" s="3" t="b">
        <f aca="false">FALSE()</f>
        <v>0</v>
      </c>
      <c r="J258" s="1" t="s">
        <v>1945</v>
      </c>
      <c r="K258" s="1" t="s">
        <v>147</v>
      </c>
      <c r="L258" s="1" t="s">
        <v>1879</v>
      </c>
      <c r="M258" s="1" t="s">
        <v>1946</v>
      </c>
      <c r="N258" s="1" t="s">
        <v>780</v>
      </c>
      <c r="O258" s="1" t="s">
        <v>120</v>
      </c>
      <c r="P258" s="1" t="s">
        <v>352</v>
      </c>
      <c r="Q258" s="1" t="s">
        <v>1947</v>
      </c>
    </row>
    <row r="259" customFormat="false" ht="12.8" hidden="false" customHeight="false" outlineLevel="0" collapsed="false">
      <c r="A259" s="1" t="s">
        <v>17</v>
      </c>
      <c r="B259" s="1" t="s">
        <v>987</v>
      </c>
      <c r="C259" s="1" t="s">
        <v>19</v>
      </c>
      <c r="D259" s="1" t="s">
        <v>1948</v>
      </c>
      <c r="E259" s="1" t="s">
        <v>1948</v>
      </c>
      <c r="F259" s="1" t="s">
        <v>1949</v>
      </c>
      <c r="G259" s="1" t="s">
        <v>22</v>
      </c>
      <c r="H259" s="1" t="s">
        <v>1950</v>
      </c>
      <c r="I259" s="3" t="b">
        <f aca="false">FALSE()</f>
        <v>0</v>
      </c>
      <c r="J259" s="1" t="s">
        <v>1951</v>
      </c>
      <c r="K259" s="1" t="s">
        <v>930</v>
      </c>
      <c r="L259" s="1" t="s">
        <v>908</v>
      </c>
      <c r="M259" s="1" t="s">
        <v>1952</v>
      </c>
      <c r="N259" s="1" t="s">
        <v>895</v>
      </c>
      <c r="O259" s="1" t="s">
        <v>470</v>
      </c>
      <c r="P259" s="1" t="s">
        <v>161</v>
      </c>
      <c r="Q259" s="1" t="s">
        <v>1953</v>
      </c>
    </row>
    <row r="260" customFormat="false" ht="12.8" hidden="false" customHeight="false" outlineLevel="0" collapsed="false">
      <c r="A260" s="1" t="s">
        <v>17</v>
      </c>
      <c r="B260" s="1" t="s">
        <v>987</v>
      </c>
      <c r="C260" s="1" t="s">
        <v>19</v>
      </c>
      <c r="D260" s="1" t="s">
        <v>1954</v>
      </c>
      <c r="E260" s="1" t="s">
        <v>1954</v>
      </c>
      <c r="F260" s="1" t="s">
        <v>1955</v>
      </c>
      <c r="G260" s="1" t="s">
        <v>22</v>
      </c>
      <c r="H260" s="1" t="s">
        <v>1956</v>
      </c>
      <c r="I260" s="3" t="b">
        <f aca="false">FALSE()</f>
        <v>0</v>
      </c>
      <c r="J260" s="1" t="s">
        <v>1957</v>
      </c>
      <c r="K260" s="1" t="s">
        <v>147</v>
      </c>
      <c r="L260" s="1" t="s">
        <v>1098</v>
      </c>
      <c r="M260" s="1" t="s">
        <v>1958</v>
      </c>
      <c r="N260" s="1" t="s">
        <v>1915</v>
      </c>
      <c r="O260" s="1" t="s">
        <v>392</v>
      </c>
      <c r="P260" s="1" t="s">
        <v>261</v>
      </c>
      <c r="Q260" s="1" t="s">
        <v>1959</v>
      </c>
    </row>
    <row r="261" customFormat="false" ht="12.8" hidden="false" customHeight="false" outlineLevel="0" collapsed="false">
      <c r="A261" s="1" t="s">
        <v>17</v>
      </c>
      <c r="B261" s="1" t="s">
        <v>987</v>
      </c>
      <c r="C261" s="1" t="s">
        <v>19</v>
      </c>
      <c r="D261" s="1" t="s">
        <v>1960</v>
      </c>
      <c r="E261" s="1" t="s">
        <v>1960</v>
      </c>
      <c r="F261" s="1" t="s">
        <v>1961</v>
      </c>
      <c r="G261" s="1" t="s">
        <v>22</v>
      </c>
      <c r="H261" s="1" t="s">
        <v>1962</v>
      </c>
      <c r="I261" s="3" t="b">
        <f aca="false">FALSE()</f>
        <v>0</v>
      </c>
      <c r="J261" s="1" t="s">
        <v>1963</v>
      </c>
      <c r="K261" s="1" t="s">
        <v>25</v>
      </c>
      <c r="L261" s="1" t="s">
        <v>158</v>
      </c>
      <c r="M261" s="1" t="s">
        <v>1964</v>
      </c>
      <c r="N261" s="1" t="s">
        <v>780</v>
      </c>
      <c r="O261" s="1" t="s">
        <v>895</v>
      </c>
      <c r="P261" s="1" t="s">
        <v>1965</v>
      </c>
      <c r="Q261" s="1" t="s">
        <v>1966</v>
      </c>
    </row>
    <row r="262" customFormat="false" ht="12.8" hidden="false" customHeight="false" outlineLevel="0" collapsed="false">
      <c r="A262" s="1" t="s">
        <v>17</v>
      </c>
      <c r="B262" s="1" t="s">
        <v>987</v>
      </c>
      <c r="C262" s="1" t="s">
        <v>19</v>
      </c>
      <c r="D262" s="1" t="s">
        <v>1967</v>
      </c>
      <c r="E262" s="1" t="s">
        <v>1967</v>
      </c>
      <c r="F262" s="1" t="s">
        <v>1968</v>
      </c>
      <c r="G262" s="1" t="s">
        <v>22</v>
      </c>
      <c r="H262" s="1" t="s">
        <v>1969</v>
      </c>
      <c r="I262" s="3" t="b">
        <f aca="false">FALSE()</f>
        <v>0</v>
      </c>
      <c r="J262" s="1" t="s">
        <v>1970</v>
      </c>
      <c r="K262" s="1" t="s">
        <v>126</v>
      </c>
      <c r="L262" s="1" t="s">
        <v>892</v>
      </c>
      <c r="M262" s="1" t="s">
        <v>1971</v>
      </c>
      <c r="N262" s="1" t="s">
        <v>1008</v>
      </c>
      <c r="O262" s="1" t="s">
        <v>1359</v>
      </c>
      <c r="P262" s="1" t="s">
        <v>161</v>
      </c>
      <c r="Q262" s="1" t="s">
        <v>1972</v>
      </c>
    </row>
    <row r="263" customFormat="false" ht="12.8" hidden="false" customHeight="false" outlineLevel="0" collapsed="false">
      <c r="A263" s="1" t="s">
        <v>17</v>
      </c>
      <c r="B263" s="1" t="s">
        <v>987</v>
      </c>
      <c r="C263" s="1" t="s">
        <v>19</v>
      </c>
      <c r="D263" s="1" t="s">
        <v>1973</v>
      </c>
      <c r="E263" s="1" t="s">
        <v>1973</v>
      </c>
      <c r="F263" s="1" t="s">
        <v>1974</v>
      </c>
      <c r="G263" s="1" t="s">
        <v>22</v>
      </c>
      <c r="H263" s="1" t="s">
        <v>1975</v>
      </c>
      <c r="I263" s="3" t="b">
        <f aca="false">FALSE()</f>
        <v>0</v>
      </c>
      <c r="J263" s="1" t="s">
        <v>1976</v>
      </c>
      <c r="K263" s="1" t="s">
        <v>197</v>
      </c>
      <c r="L263" s="1" t="s">
        <v>1977</v>
      </c>
      <c r="M263" s="1" t="s">
        <v>1978</v>
      </c>
      <c r="N263" s="1" t="s">
        <v>1270</v>
      </c>
      <c r="O263" s="1" t="s">
        <v>269</v>
      </c>
      <c r="P263" s="1" t="s">
        <v>1220</v>
      </c>
      <c r="Q263" s="1" t="s">
        <v>1979</v>
      </c>
    </row>
    <row r="264" customFormat="false" ht="12.8" hidden="false" customHeight="false" outlineLevel="0" collapsed="false">
      <c r="A264" s="1" t="s">
        <v>17</v>
      </c>
      <c r="B264" s="1" t="s">
        <v>987</v>
      </c>
      <c r="C264" s="1" t="s">
        <v>19</v>
      </c>
      <c r="D264" s="1" t="s">
        <v>1980</v>
      </c>
      <c r="E264" s="1" t="s">
        <v>1980</v>
      </c>
      <c r="F264" s="1" t="s">
        <v>1981</v>
      </c>
      <c r="G264" s="1" t="s">
        <v>22</v>
      </c>
      <c r="H264" s="1" t="s">
        <v>1982</v>
      </c>
      <c r="I264" s="3" t="b">
        <f aca="false">FALSE()</f>
        <v>0</v>
      </c>
      <c r="J264" s="1" t="s">
        <v>1983</v>
      </c>
      <c r="K264" s="1" t="s">
        <v>239</v>
      </c>
      <c r="L264" s="1" t="s">
        <v>787</v>
      </c>
      <c r="M264" s="1" t="s">
        <v>1984</v>
      </c>
      <c r="N264" s="1" t="s">
        <v>1985</v>
      </c>
      <c r="O264" s="1" t="s">
        <v>895</v>
      </c>
      <c r="P264" s="1" t="s">
        <v>772</v>
      </c>
      <c r="Q264" s="1" t="s">
        <v>1986</v>
      </c>
    </row>
    <row r="265" customFormat="false" ht="12.8" hidden="false" customHeight="false" outlineLevel="0" collapsed="false">
      <c r="A265" s="1" t="s">
        <v>17</v>
      </c>
      <c r="B265" s="1" t="s">
        <v>987</v>
      </c>
      <c r="C265" s="1" t="s">
        <v>19</v>
      </c>
      <c r="D265" s="1" t="s">
        <v>1987</v>
      </c>
      <c r="E265" s="1" t="s">
        <v>1987</v>
      </c>
      <c r="F265" s="1" t="s">
        <v>1988</v>
      </c>
      <c r="G265" s="1" t="s">
        <v>22</v>
      </c>
      <c r="H265" s="1" t="s">
        <v>1989</v>
      </c>
      <c r="I265" s="3" t="b">
        <f aca="false">FALSE()</f>
        <v>0</v>
      </c>
      <c r="J265" s="1" t="s">
        <v>1990</v>
      </c>
      <c r="K265" s="1" t="s">
        <v>147</v>
      </c>
      <c r="L265" s="1" t="s">
        <v>148</v>
      </c>
      <c r="M265" s="1" t="s">
        <v>1991</v>
      </c>
      <c r="N265" s="1" t="s">
        <v>824</v>
      </c>
      <c r="O265" s="1" t="s">
        <v>270</v>
      </c>
      <c r="P265" s="1" t="s">
        <v>1050</v>
      </c>
      <c r="Q265" s="1" t="s">
        <v>1992</v>
      </c>
    </row>
    <row r="266" customFormat="false" ht="12.8" hidden="false" customHeight="false" outlineLevel="0" collapsed="false">
      <c r="A266" s="1" t="s">
        <v>17</v>
      </c>
      <c r="B266" s="1" t="s">
        <v>987</v>
      </c>
      <c r="C266" s="1" t="s">
        <v>19</v>
      </c>
      <c r="D266" s="1" t="s">
        <v>1993</v>
      </c>
      <c r="E266" s="1" t="s">
        <v>1993</v>
      </c>
      <c r="F266" s="1" t="s">
        <v>1994</v>
      </c>
      <c r="G266" s="1" t="s">
        <v>22</v>
      </c>
      <c r="H266" s="1" t="s">
        <v>1995</v>
      </c>
      <c r="I266" s="3" t="b">
        <f aca="false">FALSE()</f>
        <v>0</v>
      </c>
      <c r="J266" s="1" t="s">
        <v>1996</v>
      </c>
      <c r="K266" s="1" t="s">
        <v>1997</v>
      </c>
      <c r="L266" s="1" t="s">
        <v>1034</v>
      </c>
      <c r="M266" s="1" t="s">
        <v>1998</v>
      </c>
      <c r="N266" s="1" t="s">
        <v>63</v>
      </c>
      <c r="O266" s="1" t="s">
        <v>63</v>
      </c>
      <c r="P266" s="1" t="s">
        <v>181</v>
      </c>
      <c r="Q266" s="1" t="s">
        <v>1999</v>
      </c>
    </row>
    <row r="267" customFormat="false" ht="12.8" hidden="false" customHeight="false" outlineLevel="0" collapsed="false">
      <c r="A267" s="1" t="s">
        <v>17</v>
      </c>
      <c r="B267" s="1" t="s">
        <v>987</v>
      </c>
      <c r="C267" s="1" t="s">
        <v>19</v>
      </c>
      <c r="D267" s="1" t="s">
        <v>2000</v>
      </c>
      <c r="E267" s="1" t="s">
        <v>2000</v>
      </c>
      <c r="F267" s="1" t="s">
        <v>2001</v>
      </c>
      <c r="G267" s="1" t="s">
        <v>22</v>
      </c>
      <c r="H267" s="1" t="s">
        <v>2002</v>
      </c>
      <c r="I267" s="3" t="b">
        <f aca="false">FALSE()</f>
        <v>0</v>
      </c>
      <c r="J267" s="1" t="s">
        <v>2003</v>
      </c>
      <c r="K267" s="1" t="s">
        <v>25</v>
      </c>
      <c r="L267" s="1" t="s">
        <v>1728</v>
      </c>
      <c r="M267" s="1" t="s">
        <v>2004</v>
      </c>
      <c r="N267" s="1" t="s">
        <v>780</v>
      </c>
      <c r="O267" s="1" t="s">
        <v>570</v>
      </c>
      <c r="P267" s="1" t="s">
        <v>781</v>
      </c>
      <c r="Q267" s="1" t="s">
        <v>2005</v>
      </c>
    </row>
    <row r="268" customFormat="false" ht="12.8" hidden="false" customHeight="false" outlineLevel="0" collapsed="false">
      <c r="A268" s="1" t="s">
        <v>17</v>
      </c>
      <c r="B268" s="1" t="s">
        <v>987</v>
      </c>
      <c r="C268" s="1" t="s">
        <v>19</v>
      </c>
      <c r="D268" s="1" t="s">
        <v>2006</v>
      </c>
      <c r="E268" s="1" t="s">
        <v>2006</v>
      </c>
      <c r="F268" s="1" t="s">
        <v>2007</v>
      </c>
      <c r="G268" s="1" t="s">
        <v>22</v>
      </c>
      <c r="H268" s="1" t="s">
        <v>2008</v>
      </c>
      <c r="I268" s="3" t="b">
        <f aca="false">FALSE()</f>
        <v>0</v>
      </c>
      <c r="J268" s="1" t="s">
        <v>2009</v>
      </c>
      <c r="K268" s="1" t="s">
        <v>1283</v>
      </c>
      <c r="L268" s="1" t="s">
        <v>2010</v>
      </c>
      <c r="M268" s="1" t="s">
        <v>2011</v>
      </c>
      <c r="N268" s="1" t="s">
        <v>902</v>
      </c>
      <c r="O268" s="1" t="s">
        <v>509</v>
      </c>
      <c r="P268" s="1" t="s">
        <v>902</v>
      </c>
      <c r="Q268" s="1" t="s">
        <v>2012</v>
      </c>
    </row>
    <row r="269" customFormat="false" ht="12.8" hidden="false" customHeight="false" outlineLevel="0" collapsed="false">
      <c r="A269" s="1" t="s">
        <v>17</v>
      </c>
      <c r="B269" s="1" t="s">
        <v>987</v>
      </c>
      <c r="C269" s="1" t="s">
        <v>19</v>
      </c>
      <c r="D269" s="1" t="s">
        <v>2013</v>
      </c>
      <c r="E269" s="1" t="s">
        <v>2013</v>
      </c>
      <c r="F269" s="1" t="s">
        <v>2014</v>
      </c>
      <c r="G269" s="1" t="s">
        <v>22</v>
      </c>
      <c r="H269" s="1" t="s">
        <v>2015</v>
      </c>
      <c r="I269" s="3" t="b">
        <f aca="false">FALSE()</f>
        <v>0</v>
      </c>
      <c r="J269" s="1" t="s">
        <v>2016</v>
      </c>
      <c r="K269" s="1" t="s">
        <v>239</v>
      </c>
      <c r="L269" s="1" t="s">
        <v>861</v>
      </c>
      <c r="M269" s="1" t="s">
        <v>2017</v>
      </c>
      <c r="N269" s="1" t="s">
        <v>242</v>
      </c>
      <c r="O269" s="1" t="s">
        <v>242</v>
      </c>
      <c r="P269" s="1" t="s">
        <v>30</v>
      </c>
      <c r="Q269" s="1" t="s">
        <v>2018</v>
      </c>
    </row>
    <row r="270" customFormat="false" ht="12.8" hidden="false" customHeight="false" outlineLevel="0" collapsed="false">
      <c r="A270" s="1" t="s">
        <v>17</v>
      </c>
      <c r="B270" s="1" t="s">
        <v>987</v>
      </c>
      <c r="C270" s="1" t="s">
        <v>19</v>
      </c>
      <c r="D270" s="1" t="s">
        <v>2019</v>
      </c>
      <c r="E270" s="1" t="s">
        <v>2019</v>
      </c>
      <c r="F270" s="1" t="s">
        <v>2020</v>
      </c>
      <c r="G270" s="1" t="s">
        <v>22</v>
      </c>
      <c r="H270" s="1" t="s">
        <v>2021</v>
      </c>
      <c r="I270" s="3" t="b">
        <f aca="false">FALSE()</f>
        <v>0</v>
      </c>
      <c r="J270" s="1" t="s">
        <v>2022</v>
      </c>
      <c r="K270" s="1" t="s">
        <v>126</v>
      </c>
      <c r="L270" s="1" t="s">
        <v>1196</v>
      </c>
      <c r="M270" s="1" t="s">
        <v>2023</v>
      </c>
      <c r="N270" s="1" t="s">
        <v>278</v>
      </c>
      <c r="O270" s="1" t="s">
        <v>63</v>
      </c>
      <c r="P270" s="1" t="s">
        <v>30</v>
      </c>
      <c r="Q270" s="1" t="s">
        <v>2024</v>
      </c>
    </row>
    <row r="271" customFormat="false" ht="12.8" hidden="false" customHeight="false" outlineLevel="0" collapsed="false">
      <c r="A271" s="1" t="s">
        <v>17</v>
      </c>
      <c r="B271" s="1" t="s">
        <v>987</v>
      </c>
      <c r="C271" s="1" t="s">
        <v>19</v>
      </c>
      <c r="D271" s="1" t="s">
        <v>2025</v>
      </c>
      <c r="E271" s="1" t="s">
        <v>2025</v>
      </c>
      <c r="F271" s="1" t="s">
        <v>2026</v>
      </c>
      <c r="G271" s="1" t="s">
        <v>22</v>
      </c>
      <c r="H271" s="1" t="s">
        <v>2027</v>
      </c>
      <c r="I271" s="3" t="b">
        <f aca="false">FALSE()</f>
        <v>0</v>
      </c>
      <c r="J271" s="1" t="s">
        <v>2028</v>
      </c>
      <c r="K271" s="1" t="s">
        <v>176</v>
      </c>
      <c r="L271" s="1" t="s">
        <v>1341</v>
      </c>
      <c r="M271" s="1" t="s">
        <v>2029</v>
      </c>
      <c r="N271" s="1" t="s">
        <v>641</v>
      </c>
      <c r="O271" s="1" t="s">
        <v>1344</v>
      </c>
      <c r="P271" s="1" t="s">
        <v>270</v>
      </c>
      <c r="Q271" s="1" t="s">
        <v>2030</v>
      </c>
    </row>
    <row r="272" customFormat="false" ht="12.8" hidden="false" customHeight="false" outlineLevel="0" collapsed="false">
      <c r="A272" s="1" t="s">
        <v>17</v>
      </c>
      <c r="B272" s="1" t="s">
        <v>987</v>
      </c>
      <c r="C272" s="1" t="s">
        <v>19</v>
      </c>
      <c r="D272" s="1" t="s">
        <v>2031</v>
      </c>
      <c r="E272" s="1" t="s">
        <v>2031</v>
      </c>
      <c r="F272" s="1" t="s">
        <v>2032</v>
      </c>
      <c r="G272" s="1" t="s">
        <v>22</v>
      </c>
      <c r="H272" s="1" t="s">
        <v>2033</v>
      </c>
      <c r="I272" s="3" t="b">
        <f aca="false">FALSE()</f>
        <v>0</v>
      </c>
      <c r="J272" s="1" t="s">
        <v>2034</v>
      </c>
      <c r="K272" s="1" t="s">
        <v>197</v>
      </c>
      <c r="L272" s="1" t="s">
        <v>2035</v>
      </c>
      <c r="M272" s="1" t="s">
        <v>2036</v>
      </c>
      <c r="N272" s="1" t="s">
        <v>1388</v>
      </c>
      <c r="O272" s="1" t="s">
        <v>1321</v>
      </c>
      <c r="P272" s="1" t="s">
        <v>252</v>
      </c>
      <c r="Q272" s="1" t="s">
        <v>2037</v>
      </c>
    </row>
    <row r="273" customFormat="false" ht="12.8" hidden="false" customHeight="false" outlineLevel="0" collapsed="false">
      <c r="A273" s="1" t="s">
        <v>17</v>
      </c>
      <c r="B273" s="1" t="s">
        <v>987</v>
      </c>
      <c r="C273" s="1" t="s">
        <v>19</v>
      </c>
      <c r="D273" s="1" t="s">
        <v>2038</v>
      </c>
      <c r="E273" s="1" t="s">
        <v>2038</v>
      </c>
      <c r="F273" s="1" t="s">
        <v>2039</v>
      </c>
      <c r="G273" s="1" t="s">
        <v>22</v>
      </c>
      <c r="H273" s="1" t="s">
        <v>2040</v>
      </c>
      <c r="I273" s="3" t="b">
        <f aca="false">FALSE()</f>
        <v>0</v>
      </c>
      <c r="J273" s="1" t="s">
        <v>2041</v>
      </c>
      <c r="K273" s="1" t="s">
        <v>197</v>
      </c>
      <c r="L273" s="1" t="s">
        <v>1365</v>
      </c>
      <c r="M273" s="1" t="s">
        <v>2042</v>
      </c>
      <c r="N273" s="1" t="s">
        <v>130</v>
      </c>
      <c r="O273" s="1" t="s">
        <v>673</v>
      </c>
      <c r="P273" s="1" t="s">
        <v>601</v>
      </c>
      <c r="Q273" s="1" t="s">
        <v>2043</v>
      </c>
    </row>
    <row r="274" customFormat="false" ht="12.8" hidden="false" customHeight="false" outlineLevel="0" collapsed="false">
      <c r="A274" s="1" t="s">
        <v>17</v>
      </c>
      <c r="B274" s="1" t="s">
        <v>987</v>
      </c>
      <c r="C274" s="1" t="s">
        <v>19</v>
      </c>
      <c r="D274" s="1" t="s">
        <v>2044</v>
      </c>
      <c r="E274" s="1" t="s">
        <v>2044</v>
      </c>
      <c r="F274" s="1" t="s">
        <v>2045</v>
      </c>
      <c r="G274" s="1" t="s">
        <v>22</v>
      </c>
      <c r="H274" s="1" t="s">
        <v>2046</v>
      </c>
      <c r="I274" s="3" t="b">
        <f aca="false">FALSE()</f>
        <v>0</v>
      </c>
      <c r="J274" s="1" t="s">
        <v>2047</v>
      </c>
      <c r="K274" s="1" t="s">
        <v>49</v>
      </c>
      <c r="L274" s="1" t="s">
        <v>177</v>
      </c>
      <c r="M274" s="1" t="s">
        <v>2048</v>
      </c>
      <c r="N274" s="1" t="s">
        <v>902</v>
      </c>
      <c r="O274" s="1" t="s">
        <v>463</v>
      </c>
      <c r="P274" s="1" t="s">
        <v>29</v>
      </c>
      <c r="Q274" s="1" t="s">
        <v>2049</v>
      </c>
    </row>
    <row r="275" customFormat="false" ht="12.8" hidden="false" customHeight="false" outlineLevel="0" collapsed="false">
      <c r="A275" s="1" t="s">
        <v>17</v>
      </c>
      <c r="B275" s="1" t="s">
        <v>987</v>
      </c>
      <c r="C275" s="1" t="s">
        <v>19</v>
      </c>
      <c r="D275" s="1" t="s">
        <v>2050</v>
      </c>
      <c r="E275" s="1" t="s">
        <v>2050</v>
      </c>
      <c r="F275" s="1" t="s">
        <v>2051</v>
      </c>
      <c r="G275" s="1" t="s">
        <v>22</v>
      </c>
      <c r="H275" s="1" t="s">
        <v>2052</v>
      </c>
      <c r="I275" s="3" t="b">
        <f aca="false">FALSE()</f>
        <v>0</v>
      </c>
      <c r="J275" s="1" t="s">
        <v>2053</v>
      </c>
      <c r="K275" s="1" t="s">
        <v>147</v>
      </c>
      <c r="L275" s="1" t="s">
        <v>358</v>
      </c>
      <c r="M275" s="1" t="s">
        <v>2054</v>
      </c>
      <c r="N275" s="1" t="s">
        <v>2055</v>
      </c>
      <c r="O275" s="1" t="s">
        <v>682</v>
      </c>
      <c r="P275" s="1" t="s">
        <v>261</v>
      </c>
      <c r="Q275" s="1" t="s">
        <v>2056</v>
      </c>
    </row>
    <row r="276" customFormat="false" ht="12.8" hidden="false" customHeight="false" outlineLevel="0" collapsed="false">
      <c r="A276" s="1" t="s">
        <v>17</v>
      </c>
      <c r="B276" s="1" t="s">
        <v>987</v>
      </c>
      <c r="C276" s="1" t="s">
        <v>19</v>
      </c>
      <c r="D276" s="1" t="s">
        <v>2057</v>
      </c>
      <c r="E276" s="1" t="s">
        <v>2057</v>
      </c>
      <c r="F276" s="1" t="s">
        <v>2058</v>
      </c>
      <c r="G276" s="1" t="s">
        <v>22</v>
      </c>
      <c r="H276" s="1" t="s">
        <v>2059</v>
      </c>
      <c r="I276" s="3" t="b">
        <f aca="false">FALSE()</f>
        <v>0</v>
      </c>
      <c r="J276" s="1" t="s">
        <v>2060</v>
      </c>
      <c r="K276" s="1" t="s">
        <v>126</v>
      </c>
      <c r="L276" s="1" t="s">
        <v>1422</v>
      </c>
      <c r="M276" s="1" t="s">
        <v>2061</v>
      </c>
      <c r="N276" s="1" t="s">
        <v>1220</v>
      </c>
      <c r="O276" s="1" t="s">
        <v>780</v>
      </c>
      <c r="P276" s="1" t="s">
        <v>781</v>
      </c>
      <c r="Q276" s="1" t="s">
        <v>2062</v>
      </c>
    </row>
    <row r="277" customFormat="false" ht="12.8" hidden="false" customHeight="false" outlineLevel="0" collapsed="false">
      <c r="A277" s="1" t="s">
        <v>17</v>
      </c>
      <c r="B277" s="1" t="s">
        <v>987</v>
      </c>
      <c r="C277" s="1" t="s">
        <v>19</v>
      </c>
      <c r="D277" s="1" t="s">
        <v>2063</v>
      </c>
      <c r="E277" s="1" t="s">
        <v>2063</v>
      </c>
      <c r="F277" s="1" t="s">
        <v>2064</v>
      </c>
      <c r="G277" s="1" t="s">
        <v>22</v>
      </c>
      <c r="H277" s="1" t="s">
        <v>2065</v>
      </c>
      <c r="I277" s="3" t="b">
        <f aca="false">FALSE()</f>
        <v>0</v>
      </c>
      <c r="J277" s="1" t="s">
        <v>2066</v>
      </c>
      <c r="K277" s="1" t="s">
        <v>197</v>
      </c>
      <c r="L277" s="1" t="s">
        <v>177</v>
      </c>
      <c r="M277" s="1" t="s">
        <v>2067</v>
      </c>
      <c r="N277" s="1" t="s">
        <v>278</v>
      </c>
      <c r="O277" s="1" t="s">
        <v>63</v>
      </c>
      <c r="P277" s="1" t="s">
        <v>181</v>
      </c>
      <c r="Q277" s="1" t="s">
        <v>2068</v>
      </c>
    </row>
    <row r="278" customFormat="false" ht="12.8" hidden="false" customHeight="false" outlineLevel="0" collapsed="false">
      <c r="A278" s="1" t="s">
        <v>17</v>
      </c>
      <c r="B278" s="1" t="s">
        <v>987</v>
      </c>
      <c r="C278" s="1" t="s">
        <v>19</v>
      </c>
      <c r="D278" s="1" t="s">
        <v>2069</v>
      </c>
      <c r="E278" s="1" t="s">
        <v>2069</v>
      </c>
      <c r="F278" s="1" t="s">
        <v>2070</v>
      </c>
      <c r="G278" s="1" t="s">
        <v>22</v>
      </c>
      <c r="H278" s="1" t="s">
        <v>2071</v>
      </c>
      <c r="I278" s="3" t="b">
        <f aca="false">FALSE()</f>
        <v>0</v>
      </c>
      <c r="J278" s="1" t="s">
        <v>2072</v>
      </c>
      <c r="K278" s="1" t="s">
        <v>49</v>
      </c>
      <c r="L278" s="1" t="s">
        <v>639</v>
      </c>
      <c r="M278" s="1" t="s">
        <v>2073</v>
      </c>
      <c r="N278" s="1" t="s">
        <v>2074</v>
      </c>
      <c r="O278" s="1" t="s">
        <v>802</v>
      </c>
      <c r="P278" s="1" t="s">
        <v>2075</v>
      </c>
      <c r="Q278" s="1" t="s">
        <v>2076</v>
      </c>
    </row>
    <row r="279" customFormat="false" ht="12.8" hidden="false" customHeight="false" outlineLevel="0" collapsed="false">
      <c r="A279" s="1" t="s">
        <v>17</v>
      </c>
      <c r="B279" s="1" t="s">
        <v>987</v>
      </c>
      <c r="C279" s="1" t="s">
        <v>19</v>
      </c>
      <c r="D279" s="1" t="s">
        <v>2077</v>
      </c>
      <c r="E279" s="1" t="s">
        <v>2077</v>
      </c>
      <c r="F279" s="1" t="s">
        <v>2078</v>
      </c>
      <c r="G279" s="1" t="s">
        <v>22</v>
      </c>
      <c r="H279" s="1" t="s">
        <v>2079</v>
      </c>
      <c r="I279" s="3" t="b">
        <f aca="false">FALSE()</f>
        <v>0</v>
      </c>
      <c r="J279" s="1" t="s">
        <v>2080</v>
      </c>
      <c r="K279" s="1" t="s">
        <v>197</v>
      </c>
      <c r="L279" s="1" t="s">
        <v>2081</v>
      </c>
      <c r="M279" s="1" t="s">
        <v>2082</v>
      </c>
      <c r="N279" s="1" t="s">
        <v>470</v>
      </c>
      <c r="O279" s="1" t="s">
        <v>342</v>
      </c>
      <c r="P279" s="1" t="s">
        <v>270</v>
      </c>
      <c r="Q279" s="1" t="s">
        <v>2083</v>
      </c>
    </row>
    <row r="280" customFormat="false" ht="12.8" hidden="false" customHeight="false" outlineLevel="0" collapsed="false">
      <c r="A280" s="1" t="s">
        <v>17</v>
      </c>
      <c r="B280" s="1" t="s">
        <v>987</v>
      </c>
      <c r="C280" s="1" t="s">
        <v>19</v>
      </c>
      <c r="D280" s="1" t="s">
        <v>2084</v>
      </c>
      <c r="E280" s="1" t="s">
        <v>2084</v>
      </c>
      <c r="F280" s="1" t="s">
        <v>2085</v>
      </c>
      <c r="G280" s="1" t="s">
        <v>22</v>
      </c>
      <c r="H280" s="1" t="s">
        <v>2086</v>
      </c>
      <c r="I280" s="3" t="b">
        <f aca="false">FALSE()</f>
        <v>0</v>
      </c>
      <c r="J280" s="1" t="s">
        <v>2087</v>
      </c>
      <c r="K280" s="1" t="s">
        <v>239</v>
      </c>
      <c r="L280" s="1" t="s">
        <v>861</v>
      </c>
      <c r="M280" s="1" t="s">
        <v>2088</v>
      </c>
      <c r="N280" s="1" t="s">
        <v>242</v>
      </c>
      <c r="O280" s="1" t="s">
        <v>902</v>
      </c>
      <c r="P280" s="1" t="s">
        <v>30</v>
      </c>
      <c r="Q280" s="1" t="s">
        <v>2089</v>
      </c>
    </row>
    <row r="281" customFormat="false" ht="12.8" hidden="false" customHeight="false" outlineLevel="0" collapsed="false">
      <c r="A281" s="1" t="s">
        <v>17</v>
      </c>
      <c r="B281" s="1" t="s">
        <v>987</v>
      </c>
      <c r="C281" s="1" t="s">
        <v>19</v>
      </c>
      <c r="D281" s="1" t="s">
        <v>2090</v>
      </c>
      <c r="E281" s="1" t="s">
        <v>2090</v>
      </c>
      <c r="F281" s="1" t="s">
        <v>2091</v>
      </c>
      <c r="G281" s="1" t="s">
        <v>22</v>
      </c>
      <c r="H281" s="1" t="s">
        <v>2092</v>
      </c>
      <c r="I281" s="3" t="b">
        <f aca="false">FALSE()</f>
        <v>0</v>
      </c>
      <c r="J281" s="1" t="s">
        <v>2093</v>
      </c>
      <c r="K281" s="1" t="s">
        <v>147</v>
      </c>
      <c r="L281" s="1" t="s">
        <v>333</v>
      </c>
      <c r="M281" s="1" t="s">
        <v>2094</v>
      </c>
      <c r="N281" s="1" t="s">
        <v>824</v>
      </c>
      <c r="O281" s="1" t="s">
        <v>824</v>
      </c>
      <c r="P281" s="1" t="s">
        <v>1050</v>
      </c>
      <c r="Q281" s="1" t="s">
        <v>2095</v>
      </c>
    </row>
    <row r="282" customFormat="false" ht="12.8" hidden="false" customHeight="false" outlineLevel="0" collapsed="false">
      <c r="A282" s="1" t="s">
        <v>17</v>
      </c>
      <c r="B282" s="1" t="s">
        <v>987</v>
      </c>
      <c r="C282" s="1" t="s">
        <v>19</v>
      </c>
      <c r="D282" s="1" t="s">
        <v>2096</v>
      </c>
      <c r="E282" s="1" t="s">
        <v>2096</v>
      </c>
      <c r="F282" s="1" t="s">
        <v>2097</v>
      </c>
      <c r="G282" s="1" t="s">
        <v>22</v>
      </c>
      <c r="H282" s="1" t="s">
        <v>2098</v>
      </c>
      <c r="I282" s="3" t="b">
        <f aca="false">FALSE()</f>
        <v>0</v>
      </c>
      <c r="J282" s="1" t="s">
        <v>2099</v>
      </c>
      <c r="K282" s="1" t="s">
        <v>126</v>
      </c>
      <c r="L282" s="1" t="s">
        <v>127</v>
      </c>
      <c r="M282" s="1" t="s">
        <v>2100</v>
      </c>
      <c r="N282" s="1" t="s">
        <v>208</v>
      </c>
      <c r="O282" s="1" t="s">
        <v>179</v>
      </c>
      <c r="P282" s="1" t="s">
        <v>1050</v>
      </c>
      <c r="Q282" s="1" t="s">
        <v>2101</v>
      </c>
    </row>
    <row r="283" customFormat="false" ht="12.8" hidden="false" customHeight="false" outlineLevel="0" collapsed="false">
      <c r="A283" s="1" t="s">
        <v>17</v>
      </c>
      <c r="B283" s="1" t="s">
        <v>987</v>
      </c>
      <c r="C283" s="1" t="s">
        <v>19</v>
      </c>
      <c r="D283" s="1" t="s">
        <v>2102</v>
      </c>
      <c r="E283" s="1" t="s">
        <v>2102</v>
      </c>
      <c r="F283" s="1" t="s">
        <v>2103</v>
      </c>
      <c r="G283" s="1" t="s">
        <v>22</v>
      </c>
      <c r="H283" s="1" t="s">
        <v>2104</v>
      </c>
      <c r="I283" s="3" t="b">
        <f aca="false">FALSE()</f>
        <v>0</v>
      </c>
      <c r="J283" s="1" t="s">
        <v>2105</v>
      </c>
      <c r="K283" s="1" t="s">
        <v>147</v>
      </c>
      <c r="L283" s="1" t="s">
        <v>333</v>
      </c>
      <c r="M283" s="1" t="s">
        <v>2106</v>
      </c>
      <c r="N283" s="1" t="s">
        <v>824</v>
      </c>
      <c r="O283" s="1" t="s">
        <v>824</v>
      </c>
      <c r="P283" s="1" t="s">
        <v>1050</v>
      </c>
      <c r="Q283" s="1" t="s">
        <v>2107</v>
      </c>
    </row>
    <row r="284" customFormat="false" ht="12.8" hidden="false" customHeight="false" outlineLevel="0" collapsed="false">
      <c r="A284" s="1" t="s">
        <v>17</v>
      </c>
      <c r="B284" s="1" t="s">
        <v>987</v>
      </c>
      <c r="C284" s="1" t="s">
        <v>19</v>
      </c>
      <c r="D284" s="1" t="s">
        <v>2108</v>
      </c>
      <c r="E284" s="1" t="s">
        <v>2108</v>
      </c>
      <c r="F284" s="1" t="s">
        <v>2109</v>
      </c>
      <c r="G284" s="1" t="s">
        <v>22</v>
      </c>
      <c r="H284" s="1" t="s">
        <v>2110</v>
      </c>
      <c r="I284" s="3" t="b">
        <f aca="false">FALSE()</f>
        <v>0</v>
      </c>
      <c r="J284" s="1" t="s">
        <v>2111</v>
      </c>
      <c r="K284" s="1" t="s">
        <v>49</v>
      </c>
      <c r="L284" s="1" t="s">
        <v>2112</v>
      </c>
      <c r="M284" s="1" t="s">
        <v>2113</v>
      </c>
      <c r="N284" s="1" t="s">
        <v>207</v>
      </c>
      <c r="O284" s="1" t="s">
        <v>2114</v>
      </c>
      <c r="P284" s="1" t="s">
        <v>209</v>
      </c>
      <c r="Q284" s="1" t="s">
        <v>2115</v>
      </c>
    </row>
    <row r="285" customFormat="false" ht="12.8" hidden="false" customHeight="false" outlineLevel="0" collapsed="false">
      <c r="A285" s="1" t="s">
        <v>17</v>
      </c>
      <c r="B285" s="1" t="s">
        <v>987</v>
      </c>
      <c r="C285" s="1" t="s">
        <v>19</v>
      </c>
      <c r="D285" s="1" t="s">
        <v>2116</v>
      </c>
      <c r="E285" s="1" t="s">
        <v>2116</v>
      </c>
      <c r="F285" s="1" t="s">
        <v>2117</v>
      </c>
      <c r="G285" s="1" t="s">
        <v>22</v>
      </c>
      <c r="H285" s="1" t="s">
        <v>2118</v>
      </c>
      <c r="I285" s="3" t="b">
        <f aca="false">FALSE()</f>
        <v>0</v>
      </c>
      <c r="J285" s="1" t="s">
        <v>2119</v>
      </c>
      <c r="K285" s="1" t="s">
        <v>137</v>
      </c>
      <c r="L285" s="1" t="s">
        <v>1341</v>
      </c>
      <c r="M285" s="1" t="s">
        <v>2120</v>
      </c>
      <c r="N285" s="1" t="s">
        <v>1817</v>
      </c>
      <c r="O285" s="1" t="s">
        <v>1736</v>
      </c>
      <c r="P285" s="1" t="s">
        <v>270</v>
      </c>
      <c r="Q285" s="1" t="s">
        <v>2121</v>
      </c>
    </row>
    <row r="286" customFormat="false" ht="12.8" hidden="false" customHeight="false" outlineLevel="0" collapsed="false">
      <c r="A286" s="1" t="s">
        <v>17</v>
      </c>
      <c r="B286" s="1" t="s">
        <v>987</v>
      </c>
      <c r="C286" s="1" t="s">
        <v>19</v>
      </c>
      <c r="D286" s="1" t="s">
        <v>2122</v>
      </c>
      <c r="E286" s="1" t="s">
        <v>2122</v>
      </c>
      <c r="F286" s="1" t="s">
        <v>2123</v>
      </c>
      <c r="G286" s="1" t="s">
        <v>22</v>
      </c>
      <c r="H286" s="1" t="s">
        <v>2124</v>
      </c>
      <c r="I286" s="3" t="b">
        <f aca="false">FALSE()</f>
        <v>0</v>
      </c>
      <c r="J286" s="1" t="s">
        <v>2125</v>
      </c>
      <c r="K286" s="1" t="s">
        <v>239</v>
      </c>
      <c r="L286" s="1" t="s">
        <v>861</v>
      </c>
      <c r="M286" s="1" t="s">
        <v>2126</v>
      </c>
      <c r="N286" s="1" t="s">
        <v>242</v>
      </c>
      <c r="O286" s="1" t="s">
        <v>120</v>
      </c>
      <c r="P286" s="1" t="s">
        <v>30</v>
      </c>
      <c r="Q286" s="1" t="s">
        <v>2127</v>
      </c>
    </row>
    <row r="287" customFormat="false" ht="12.8" hidden="false" customHeight="false" outlineLevel="0" collapsed="false">
      <c r="A287" s="1" t="s">
        <v>17</v>
      </c>
      <c r="B287" s="1" t="s">
        <v>987</v>
      </c>
      <c r="C287" s="1" t="s">
        <v>19</v>
      </c>
      <c r="D287" s="1" t="s">
        <v>2128</v>
      </c>
      <c r="E287" s="1" t="s">
        <v>2128</v>
      </c>
      <c r="F287" s="1" t="s">
        <v>2129</v>
      </c>
      <c r="G287" s="1" t="s">
        <v>22</v>
      </c>
      <c r="H287" s="1" t="s">
        <v>2130</v>
      </c>
      <c r="I287" s="3" t="b">
        <f aca="false">FALSE()</f>
        <v>0</v>
      </c>
      <c r="J287" s="1" t="s">
        <v>2131</v>
      </c>
      <c r="K287" s="1" t="s">
        <v>176</v>
      </c>
      <c r="L287" s="1" t="s">
        <v>778</v>
      </c>
      <c r="M287" s="1" t="s">
        <v>2132</v>
      </c>
      <c r="N287" s="1" t="s">
        <v>384</v>
      </c>
      <c r="O287" s="1" t="s">
        <v>384</v>
      </c>
      <c r="P287" s="1" t="s">
        <v>252</v>
      </c>
      <c r="Q287" s="1" t="s">
        <v>2133</v>
      </c>
    </row>
    <row r="288" customFormat="false" ht="12.8" hidden="false" customHeight="false" outlineLevel="0" collapsed="false">
      <c r="A288" s="1" t="s">
        <v>17</v>
      </c>
      <c r="B288" s="1" t="s">
        <v>987</v>
      </c>
      <c r="C288" s="1" t="s">
        <v>19</v>
      </c>
      <c r="D288" s="1" t="s">
        <v>2134</v>
      </c>
      <c r="E288" s="1" t="s">
        <v>2134</v>
      </c>
      <c r="F288" s="1" t="s">
        <v>2135</v>
      </c>
      <c r="G288" s="1" t="s">
        <v>22</v>
      </c>
      <c r="H288" s="1" t="s">
        <v>2136</v>
      </c>
      <c r="I288" s="3" t="b">
        <f aca="false">FALSE()</f>
        <v>0</v>
      </c>
      <c r="J288" s="1" t="s">
        <v>2137</v>
      </c>
      <c r="K288" s="1" t="s">
        <v>197</v>
      </c>
      <c r="L288" s="1" t="s">
        <v>695</v>
      </c>
      <c r="M288" s="1" t="s">
        <v>2138</v>
      </c>
      <c r="N288" s="1" t="s">
        <v>761</v>
      </c>
      <c r="O288" s="1" t="s">
        <v>2139</v>
      </c>
      <c r="P288" s="1" t="s">
        <v>252</v>
      </c>
      <c r="Q288" s="1" t="s">
        <v>2140</v>
      </c>
    </row>
    <row r="289" customFormat="false" ht="12.8" hidden="false" customHeight="false" outlineLevel="0" collapsed="false">
      <c r="A289" s="1" t="s">
        <v>17</v>
      </c>
      <c r="B289" s="1" t="s">
        <v>987</v>
      </c>
      <c r="C289" s="1" t="s">
        <v>19</v>
      </c>
      <c r="D289" s="1" t="s">
        <v>2141</v>
      </c>
      <c r="E289" s="1" t="s">
        <v>2141</v>
      </c>
      <c r="F289" s="1" t="s">
        <v>2142</v>
      </c>
      <c r="G289" s="1" t="s">
        <v>22</v>
      </c>
      <c r="H289" s="1" t="s">
        <v>2143</v>
      </c>
      <c r="I289" s="3" t="b">
        <f aca="false">FALSE()</f>
        <v>0</v>
      </c>
      <c r="J289" s="1" t="s">
        <v>2144</v>
      </c>
      <c r="K289" s="1" t="s">
        <v>25</v>
      </c>
      <c r="L289" s="1" t="s">
        <v>2145</v>
      </c>
      <c r="M289" s="1" t="s">
        <v>2146</v>
      </c>
      <c r="N289" s="1" t="s">
        <v>1388</v>
      </c>
      <c r="O289" s="1" t="s">
        <v>681</v>
      </c>
      <c r="P289" s="1" t="s">
        <v>131</v>
      </c>
      <c r="Q289" s="1" t="s">
        <v>2147</v>
      </c>
    </row>
    <row r="290" customFormat="false" ht="12.8" hidden="false" customHeight="false" outlineLevel="0" collapsed="false">
      <c r="A290" s="1" t="s">
        <v>17</v>
      </c>
      <c r="B290" s="1" t="s">
        <v>987</v>
      </c>
      <c r="C290" s="1" t="s">
        <v>19</v>
      </c>
      <c r="D290" s="1" t="s">
        <v>2148</v>
      </c>
      <c r="E290" s="1" t="s">
        <v>2148</v>
      </c>
      <c r="F290" s="1" t="s">
        <v>2149</v>
      </c>
      <c r="G290" s="1" t="s">
        <v>22</v>
      </c>
      <c r="H290" s="1" t="s">
        <v>2150</v>
      </c>
      <c r="I290" s="3" t="b">
        <f aca="false">FALSE()</f>
        <v>0</v>
      </c>
      <c r="J290" s="1" t="s">
        <v>2151</v>
      </c>
      <c r="K290" s="1" t="s">
        <v>365</v>
      </c>
      <c r="L290" s="1" t="s">
        <v>992</v>
      </c>
      <c r="M290" s="1" t="s">
        <v>2152</v>
      </c>
      <c r="N290" s="1" t="s">
        <v>824</v>
      </c>
      <c r="O290" s="1" t="s">
        <v>120</v>
      </c>
      <c r="P290" s="1" t="s">
        <v>1173</v>
      </c>
      <c r="Q290" s="1" t="s">
        <v>2153</v>
      </c>
    </row>
    <row r="291" customFormat="false" ht="12.8" hidden="false" customHeight="false" outlineLevel="0" collapsed="false">
      <c r="A291" s="1" t="s">
        <v>17</v>
      </c>
      <c r="B291" s="1" t="s">
        <v>987</v>
      </c>
      <c r="C291" s="1" t="s">
        <v>19</v>
      </c>
      <c r="D291" s="1" t="s">
        <v>2154</v>
      </c>
      <c r="E291" s="1" t="s">
        <v>2154</v>
      </c>
      <c r="F291" s="1" t="s">
        <v>2155</v>
      </c>
      <c r="G291" s="1" t="s">
        <v>22</v>
      </c>
      <c r="H291" s="1" t="s">
        <v>2156</v>
      </c>
      <c r="I291" s="3" t="b">
        <f aca="false">FALSE()</f>
        <v>0</v>
      </c>
      <c r="J291" s="1" t="s">
        <v>2157</v>
      </c>
      <c r="K291" s="1" t="s">
        <v>147</v>
      </c>
      <c r="L291" s="1" t="s">
        <v>333</v>
      </c>
      <c r="M291" s="1" t="s">
        <v>2158</v>
      </c>
      <c r="N291" s="1" t="s">
        <v>108</v>
      </c>
      <c r="O291" s="1" t="s">
        <v>179</v>
      </c>
      <c r="P291" s="1" t="s">
        <v>1050</v>
      </c>
      <c r="Q291" s="1" t="s">
        <v>2159</v>
      </c>
    </row>
    <row r="292" customFormat="false" ht="12.8" hidden="false" customHeight="false" outlineLevel="0" collapsed="false">
      <c r="A292" s="1" t="s">
        <v>17</v>
      </c>
      <c r="B292" s="1" t="s">
        <v>987</v>
      </c>
      <c r="C292" s="1" t="s">
        <v>19</v>
      </c>
      <c r="D292" s="1" t="s">
        <v>2160</v>
      </c>
      <c r="E292" s="1" t="s">
        <v>2160</v>
      </c>
      <c r="F292" s="1" t="s">
        <v>2161</v>
      </c>
      <c r="G292" s="1" t="s">
        <v>22</v>
      </c>
      <c r="H292" s="1" t="s">
        <v>2162</v>
      </c>
      <c r="I292" s="3" t="b">
        <f aca="false">FALSE()</f>
        <v>0</v>
      </c>
      <c r="J292" s="1" t="s">
        <v>2163</v>
      </c>
      <c r="K292" s="1" t="s">
        <v>49</v>
      </c>
      <c r="L292" s="1" t="s">
        <v>2164</v>
      </c>
      <c r="M292" s="1" t="s">
        <v>2165</v>
      </c>
      <c r="N292" s="1" t="s">
        <v>1328</v>
      </c>
      <c r="O292" s="1" t="s">
        <v>242</v>
      </c>
      <c r="P292" s="1" t="s">
        <v>252</v>
      </c>
      <c r="Q292" s="1" t="s">
        <v>2166</v>
      </c>
    </row>
    <row r="293" customFormat="false" ht="12.8" hidden="false" customHeight="false" outlineLevel="0" collapsed="false">
      <c r="A293" s="1" t="s">
        <v>17</v>
      </c>
      <c r="B293" s="1" t="s">
        <v>987</v>
      </c>
      <c r="C293" s="1" t="s">
        <v>19</v>
      </c>
      <c r="D293" s="1" t="s">
        <v>2167</v>
      </c>
      <c r="E293" s="1" t="s">
        <v>2167</v>
      </c>
      <c r="F293" s="1" t="s">
        <v>2168</v>
      </c>
      <c r="G293" s="1" t="s">
        <v>22</v>
      </c>
      <c r="H293" s="1" t="s">
        <v>2169</v>
      </c>
      <c r="I293" s="3" t="b">
        <f aca="false">FALSE()</f>
        <v>0</v>
      </c>
      <c r="J293" s="1" t="s">
        <v>2170</v>
      </c>
      <c r="K293" s="1" t="s">
        <v>197</v>
      </c>
      <c r="L293" s="1" t="s">
        <v>1284</v>
      </c>
      <c r="M293" s="1" t="s">
        <v>2171</v>
      </c>
      <c r="N293" s="1" t="s">
        <v>2172</v>
      </c>
      <c r="O293" s="1" t="s">
        <v>2173</v>
      </c>
      <c r="P293" s="1" t="s">
        <v>252</v>
      </c>
      <c r="Q293" s="1" t="s">
        <v>2174</v>
      </c>
    </row>
    <row r="294" customFormat="false" ht="12.8" hidden="false" customHeight="false" outlineLevel="0" collapsed="false">
      <c r="A294" s="1" t="s">
        <v>17</v>
      </c>
      <c r="B294" s="1" t="s">
        <v>987</v>
      </c>
      <c r="C294" s="1" t="s">
        <v>19</v>
      </c>
      <c r="D294" s="1" t="s">
        <v>2175</v>
      </c>
      <c r="E294" s="1" t="s">
        <v>2175</v>
      </c>
      <c r="F294" s="1" t="s">
        <v>2176</v>
      </c>
      <c r="G294" s="1" t="s">
        <v>22</v>
      </c>
      <c r="H294" s="1" t="s">
        <v>2177</v>
      </c>
      <c r="I294" s="3" t="b">
        <f aca="false">FALSE()</f>
        <v>0</v>
      </c>
      <c r="J294" s="1" t="s">
        <v>2178</v>
      </c>
      <c r="K294" s="1" t="s">
        <v>137</v>
      </c>
      <c r="L294" s="1" t="s">
        <v>2179</v>
      </c>
      <c r="M294" s="1" t="s">
        <v>2180</v>
      </c>
      <c r="N294" s="1" t="s">
        <v>2181</v>
      </c>
      <c r="O294" s="1" t="s">
        <v>2182</v>
      </c>
      <c r="P294" s="1" t="s">
        <v>252</v>
      </c>
      <c r="Q294" s="1" t="s">
        <v>2183</v>
      </c>
    </row>
    <row r="295" customFormat="false" ht="12.8" hidden="false" customHeight="false" outlineLevel="0" collapsed="false">
      <c r="A295" s="1" t="s">
        <v>17</v>
      </c>
      <c r="B295" s="1" t="s">
        <v>987</v>
      </c>
      <c r="C295" s="1" t="s">
        <v>19</v>
      </c>
      <c r="D295" s="1" t="s">
        <v>2184</v>
      </c>
      <c r="E295" s="1" t="s">
        <v>2184</v>
      </c>
      <c r="F295" s="1" t="s">
        <v>2185</v>
      </c>
      <c r="G295" s="1" t="s">
        <v>22</v>
      </c>
      <c r="H295" s="1" t="s">
        <v>2186</v>
      </c>
      <c r="I295" s="3" t="b">
        <f aca="false">FALSE()</f>
        <v>0</v>
      </c>
      <c r="J295" s="1" t="s">
        <v>2187</v>
      </c>
      <c r="K295" s="1" t="s">
        <v>126</v>
      </c>
      <c r="L295" s="1" t="s">
        <v>2188</v>
      </c>
      <c r="M295" s="1" t="s">
        <v>2189</v>
      </c>
      <c r="N295" s="1" t="s">
        <v>242</v>
      </c>
      <c r="O295" s="1" t="s">
        <v>120</v>
      </c>
      <c r="P295" s="1" t="s">
        <v>252</v>
      </c>
      <c r="Q295" s="1" t="s">
        <v>2190</v>
      </c>
    </row>
    <row r="296" customFormat="false" ht="12.8" hidden="false" customHeight="false" outlineLevel="0" collapsed="false">
      <c r="A296" s="1" t="s">
        <v>17</v>
      </c>
      <c r="B296" s="1" t="s">
        <v>987</v>
      </c>
      <c r="C296" s="1" t="s">
        <v>19</v>
      </c>
      <c r="D296" s="1" t="s">
        <v>2191</v>
      </c>
      <c r="E296" s="1" t="s">
        <v>2191</v>
      </c>
      <c r="F296" s="1" t="s">
        <v>2192</v>
      </c>
      <c r="G296" s="1" t="s">
        <v>22</v>
      </c>
      <c r="H296" s="1" t="s">
        <v>2193</v>
      </c>
      <c r="I296" s="3" t="b">
        <f aca="false">FALSE()</f>
        <v>0</v>
      </c>
      <c r="J296" s="1" t="s">
        <v>2194</v>
      </c>
      <c r="K296" s="1" t="s">
        <v>126</v>
      </c>
      <c r="L296" s="1" t="s">
        <v>2195</v>
      </c>
      <c r="M296" s="1" t="s">
        <v>2196</v>
      </c>
      <c r="N296" s="1" t="s">
        <v>130</v>
      </c>
      <c r="O296" s="1" t="s">
        <v>895</v>
      </c>
      <c r="P296" s="1" t="s">
        <v>252</v>
      </c>
      <c r="Q296" s="1" t="s">
        <v>2197</v>
      </c>
    </row>
    <row r="297" customFormat="false" ht="12.8" hidden="false" customHeight="false" outlineLevel="0" collapsed="false">
      <c r="A297" s="1" t="s">
        <v>17</v>
      </c>
      <c r="B297" s="1" t="s">
        <v>987</v>
      </c>
      <c r="C297" s="1" t="s">
        <v>19</v>
      </c>
      <c r="D297" s="1" t="s">
        <v>2198</v>
      </c>
      <c r="E297" s="1" t="s">
        <v>2198</v>
      </c>
      <c r="F297" s="1" t="s">
        <v>2199</v>
      </c>
      <c r="G297" s="1" t="s">
        <v>22</v>
      </c>
      <c r="H297" s="1" t="s">
        <v>2200</v>
      </c>
      <c r="I297" s="3" t="b">
        <f aca="false">FALSE()</f>
        <v>0</v>
      </c>
      <c r="J297" s="1" t="s">
        <v>2201</v>
      </c>
      <c r="K297" s="1" t="s">
        <v>147</v>
      </c>
      <c r="L297" s="1" t="s">
        <v>1276</v>
      </c>
      <c r="M297" s="1" t="s">
        <v>2202</v>
      </c>
      <c r="N297" s="1" t="s">
        <v>463</v>
      </c>
      <c r="O297" s="1" t="s">
        <v>242</v>
      </c>
      <c r="P297" s="1" t="s">
        <v>969</v>
      </c>
      <c r="Q297" s="1" t="s">
        <v>2203</v>
      </c>
    </row>
    <row r="298" customFormat="false" ht="12.8" hidden="false" customHeight="false" outlineLevel="0" collapsed="false">
      <c r="A298" s="1" t="s">
        <v>17</v>
      </c>
      <c r="B298" s="1" t="s">
        <v>987</v>
      </c>
      <c r="C298" s="1" t="s">
        <v>19</v>
      </c>
      <c r="D298" s="1" t="s">
        <v>2204</v>
      </c>
      <c r="E298" s="1" t="s">
        <v>2204</v>
      </c>
      <c r="F298" s="1" t="s">
        <v>2205</v>
      </c>
      <c r="G298" s="1" t="s">
        <v>22</v>
      </c>
      <c r="H298" s="1" t="s">
        <v>2206</v>
      </c>
      <c r="I298" s="3" t="b">
        <f aca="false">FALSE()</f>
        <v>0</v>
      </c>
      <c r="J298" s="1" t="s">
        <v>2207</v>
      </c>
      <c r="K298" s="1" t="s">
        <v>25</v>
      </c>
      <c r="L298" s="1" t="s">
        <v>1041</v>
      </c>
      <c r="M298" s="1" t="s">
        <v>2208</v>
      </c>
      <c r="N298" s="1" t="s">
        <v>129</v>
      </c>
      <c r="O298" s="1" t="s">
        <v>1220</v>
      </c>
      <c r="P298" s="1" t="s">
        <v>772</v>
      </c>
      <c r="Q298" s="1" t="s">
        <v>2209</v>
      </c>
    </row>
    <row r="299" customFormat="false" ht="12.8" hidden="false" customHeight="false" outlineLevel="0" collapsed="false">
      <c r="A299" s="1" t="s">
        <v>17</v>
      </c>
      <c r="B299" s="1" t="s">
        <v>987</v>
      </c>
      <c r="C299" s="1" t="s">
        <v>19</v>
      </c>
      <c r="D299" s="1" t="s">
        <v>2210</v>
      </c>
      <c r="E299" s="1" t="s">
        <v>2210</v>
      </c>
      <c r="F299" s="1" t="s">
        <v>2211</v>
      </c>
      <c r="G299" s="1" t="s">
        <v>22</v>
      </c>
      <c r="H299" s="1" t="s">
        <v>2212</v>
      </c>
      <c r="I299" s="3" t="b">
        <f aca="false">FALSE()</f>
        <v>0</v>
      </c>
      <c r="J299" s="1" t="s">
        <v>2213</v>
      </c>
      <c r="K299" s="1" t="s">
        <v>49</v>
      </c>
      <c r="L299" s="1" t="s">
        <v>2214</v>
      </c>
      <c r="M299" s="1" t="s">
        <v>2215</v>
      </c>
      <c r="N299" s="1" t="s">
        <v>780</v>
      </c>
      <c r="O299" s="1" t="s">
        <v>101</v>
      </c>
      <c r="P299" s="1" t="s">
        <v>252</v>
      </c>
      <c r="Q299" s="1" t="s">
        <v>2216</v>
      </c>
    </row>
    <row r="300" customFormat="false" ht="12.8" hidden="false" customHeight="false" outlineLevel="0" collapsed="false">
      <c r="A300" s="1" t="s">
        <v>17</v>
      </c>
      <c r="B300" s="1" t="s">
        <v>987</v>
      </c>
      <c r="C300" s="1" t="s">
        <v>19</v>
      </c>
      <c r="D300" s="1" t="s">
        <v>2217</v>
      </c>
      <c r="E300" s="1" t="s">
        <v>2217</v>
      </c>
      <c r="F300" s="1" t="s">
        <v>2218</v>
      </c>
      <c r="G300" s="1" t="s">
        <v>22</v>
      </c>
      <c r="H300" s="1" t="s">
        <v>2219</v>
      </c>
      <c r="I300" s="3" t="b">
        <f aca="false">FALSE()</f>
        <v>0</v>
      </c>
      <c r="J300" s="1" t="s">
        <v>2220</v>
      </c>
      <c r="K300" s="1" t="s">
        <v>365</v>
      </c>
      <c r="L300" s="1" t="s">
        <v>1401</v>
      </c>
      <c r="M300" s="1" t="s">
        <v>2221</v>
      </c>
      <c r="N300" s="1" t="s">
        <v>2222</v>
      </c>
      <c r="O300" s="1" t="s">
        <v>63</v>
      </c>
      <c r="P300" s="1" t="s">
        <v>1173</v>
      </c>
      <c r="Q300" s="1" t="s">
        <v>2223</v>
      </c>
    </row>
    <row r="301" customFormat="false" ht="12.8" hidden="false" customHeight="false" outlineLevel="0" collapsed="false">
      <c r="A301" s="1" t="s">
        <v>17</v>
      </c>
      <c r="B301" s="1" t="s">
        <v>987</v>
      </c>
      <c r="C301" s="1" t="s">
        <v>19</v>
      </c>
      <c r="D301" s="1" t="s">
        <v>2224</v>
      </c>
      <c r="E301" s="1" t="s">
        <v>2224</v>
      </c>
      <c r="F301" s="1" t="s">
        <v>2225</v>
      </c>
      <c r="G301" s="1" t="s">
        <v>22</v>
      </c>
      <c r="H301" s="1" t="s">
        <v>2226</v>
      </c>
      <c r="I301" s="3" t="b">
        <f aca="false">FALSE()</f>
        <v>0</v>
      </c>
      <c r="J301" s="1" t="s">
        <v>2227</v>
      </c>
      <c r="K301" s="1" t="s">
        <v>239</v>
      </c>
      <c r="L301" s="1" t="s">
        <v>333</v>
      </c>
      <c r="M301" s="1" t="s">
        <v>2228</v>
      </c>
      <c r="N301" s="1" t="s">
        <v>2229</v>
      </c>
      <c r="O301" s="1" t="s">
        <v>824</v>
      </c>
      <c r="P301" s="1" t="s">
        <v>1050</v>
      </c>
      <c r="Q301" s="1" t="s">
        <v>2230</v>
      </c>
    </row>
    <row r="302" customFormat="false" ht="12.8" hidden="false" customHeight="false" outlineLevel="0" collapsed="false">
      <c r="A302" s="1" t="s">
        <v>17</v>
      </c>
      <c r="B302" s="1" t="s">
        <v>987</v>
      </c>
      <c r="C302" s="1" t="s">
        <v>19</v>
      </c>
      <c r="D302" s="1" t="s">
        <v>2231</v>
      </c>
      <c r="E302" s="1" t="s">
        <v>2231</v>
      </c>
      <c r="F302" s="1" t="s">
        <v>2232</v>
      </c>
      <c r="G302" s="1" t="s">
        <v>22</v>
      </c>
      <c r="H302" s="1" t="s">
        <v>2233</v>
      </c>
      <c r="I302" s="3" t="b">
        <f aca="false">FALSE()</f>
        <v>0</v>
      </c>
      <c r="J302" s="1" t="s">
        <v>2234</v>
      </c>
      <c r="K302" s="1" t="s">
        <v>49</v>
      </c>
      <c r="L302" s="1" t="s">
        <v>915</v>
      </c>
      <c r="M302" s="1" t="s">
        <v>2235</v>
      </c>
      <c r="N302" s="1" t="s">
        <v>342</v>
      </c>
      <c r="O302" s="1" t="s">
        <v>63</v>
      </c>
      <c r="P302" s="1" t="s">
        <v>871</v>
      </c>
      <c r="Q302" s="1" t="s">
        <v>2236</v>
      </c>
    </row>
    <row r="303" customFormat="false" ht="12.8" hidden="false" customHeight="false" outlineLevel="0" collapsed="false">
      <c r="A303" s="1" t="s">
        <v>17</v>
      </c>
      <c r="B303" s="1" t="s">
        <v>987</v>
      </c>
      <c r="C303" s="1" t="s">
        <v>19</v>
      </c>
      <c r="D303" s="1" t="s">
        <v>2237</v>
      </c>
      <c r="E303" s="1" t="s">
        <v>2237</v>
      </c>
      <c r="F303" s="1" t="s">
        <v>2238</v>
      </c>
      <c r="G303" s="1" t="s">
        <v>22</v>
      </c>
      <c r="H303" s="1" t="s">
        <v>2239</v>
      </c>
      <c r="I303" s="3" t="b">
        <f aca="false">FALSE()</f>
        <v>0</v>
      </c>
      <c r="J303" s="1" t="s">
        <v>2240</v>
      </c>
      <c r="K303" s="1" t="s">
        <v>49</v>
      </c>
      <c r="L303" s="1" t="s">
        <v>2241</v>
      </c>
      <c r="M303" s="1" t="s">
        <v>2242</v>
      </c>
      <c r="N303" s="1" t="s">
        <v>593</v>
      </c>
      <c r="O303" s="1" t="s">
        <v>63</v>
      </c>
      <c r="P303" s="1" t="s">
        <v>181</v>
      </c>
      <c r="Q303" s="1" t="s">
        <v>2243</v>
      </c>
    </row>
    <row r="304" customFormat="false" ht="12.8" hidden="false" customHeight="false" outlineLevel="0" collapsed="false">
      <c r="A304" s="1" t="s">
        <v>17</v>
      </c>
      <c r="B304" s="1" t="s">
        <v>987</v>
      </c>
      <c r="C304" s="1" t="s">
        <v>19</v>
      </c>
      <c r="D304" s="1" t="s">
        <v>2244</v>
      </c>
      <c r="E304" s="1" t="s">
        <v>2244</v>
      </c>
      <c r="F304" s="1" t="s">
        <v>2245</v>
      </c>
      <c r="G304" s="1" t="s">
        <v>22</v>
      </c>
      <c r="H304" s="1" t="s">
        <v>2246</v>
      </c>
      <c r="I304" s="3" t="b">
        <f aca="false">FALSE()</f>
        <v>0</v>
      </c>
      <c r="J304" s="1" t="s">
        <v>2247</v>
      </c>
      <c r="K304" s="1" t="s">
        <v>49</v>
      </c>
      <c r="L304" s="1" t="s">
        <v>908</v>
      </c>
      <c r="M304" s="1" t="s">
        <v>2248</v>
      </c>
      <c r="N304" s="1" t="s">
        <v>242</v>
      </c>
      <c r="O304" s="1" t="s">
        <v>42</v>
      </c>
      <c r="P304" s="1" t="s">
        <v>772</v>
      </c>
      <c r="Q304" s="1" t="s">
        <v>2249</v>
      </c>
    </row>
    <row r="305" customFormat="false" ht="12.8" hidden="false" customHeight="false" outlineLevel="0" collapsed="false">
      <c r="A305" s="1" t="s">
        <v>17</v>
      </c>
      <c r="B305" s="1" t="s">
        <v>987</v>
      </c>
      <c r="C305" s="1" t="s">
        <v>19</v>
      </c>
      <c r="D305" s="1" t="s">
        <v>2250</v>
      </c>
      <c r="E305" s="1" t="s">
        <v>2250</v>
      </c>
      <c r="F305" s="1" t="s">
        <v>2251</v>
      </c>
      <c r="G305" s="1" t="s">
        <v>22</v>
      </c>
      <c r="H305" s="1" t="s">
        <v>2252</v>
      </c>
      <c r="I305" s="3" t="b">
        <f aca="false">FALSE()</f>
        <v>0</v>
      </c>
      <c r="J305" s="1" t="s">
        <v>2253</v>
      </c>
      <c r="K305" s="1" t="s">
        <v>1283</v>
      </c>
      <c r="L305" s="1" t="s">
        <v>2254</v>
      </c>
      <c r="M305" s="1" t="s">
        <v>2255</v>
      </c>
      <c r="N305" s="1" t="s">
        <v>41</v>
      </c>
      <c r="O305" s="1" t="s">
        <v>342</v>
      </c>
      <c r="P305" s="1" t="s">
        <v>1016</v>
      </c>
      <c r="Q305" s="1" t="s">
        <v>2256</v>
      </c>
    </row>
    <row r="306" customFormat="false" ht="12.8" hidden="false" customHeight="false" outlineLevel="0" collapsed="false">
      <c r="A306" s="1" t="s">
        <v>17</v>
      </c>
      <c r="B306" s="1" t="s">
        <v>987</v>
      </c>
      <c r="C306" s="1" t="s">
        <v>19</v>
      </c>
      <c r="D306" s="1" t="s">
        <v>2257</v>
      </c>
      <c r="E306" s="1" t="s">
        <v>2257</v>
      </c>
      <c r="F306" s="1" t="s">
        <v>2258</v>
      </c>
      <c r="G306" s="1" t="s">
        <v>22</v>
      </c>
      <c r="H306" s="1" t="s">
        <v>2259</v>
      </c>
      <c r="I306" s="3" t="b">
        <f aca="false">FALSE()</f>
        <v>0</v>
      </c>
      <c r="J306" s="1" t="s">
        <v>2260</v>
      </c>
      <c r="K306" s="1" t="s">
        <v>126</v>
      </c>
      <c r="L306" s="1" t="s">
        <v>885</v>
      </c>
      <c r="M306" s="1" t="s">
        <v>2261</v>
      </c>
      <c r="N306" s="1" t="s">
        <v>42</v>
      </c>
      <c r="O306" s="1" t="s">
        <v>470</v>
      </c>
      <c r="P306" s="1" t="s">
        <v>181</v>
      </c>
      <c r="Q306" s="1" t="s">
        <v>2262</v>
      </c>
    </row>
    <row r="307" customFormat="false" ht="12.8" hidden="false" customHeight="false" outlineLevel="0" collapsed="false">
      <c r="A307" s="1" t="s">
        <v>17</v>
      </c>
      <c r="B307" s="1" t="s">
        <v>987</v>
      </c>
      <c r="C307" s="1" t="s">
        <v>19</v>
      </c>
      <c r="D307" s="1" t="s">
        <v>2263</v>
      </c>
      <c r="E307" s="1" t="s">
        <v>2263</v>
      </c>
      <c r="F307" s="1" t="s">
        <v>2264</v>
      </c>
      <c r="G307" s="1" t="s">
        <v>22</v>
      </c>
      <c r="H307" s="1" t="s">
        <v>2265</v>
      </c>
      <c r="I307" s="3" t="b">
        <f aca="false">FALSE()</f>
        <v>0</v>
      </c>
      <c r="J307" s="1" t="s">
        <v>2266</v>
      </c>
      <c r="K307" s="1" t="s">
        <v>147</v>
      </c>
      <c r="L307" s="1" t="s">
        <v>2267</v>
      </c>
      <c r="M307" s="1" t="s">
        <v>2268</v>
      </c>
      <c r="N307" s="1" t="s">
        <v>101</v>
      </c>
      <c r="O307" s="1" t="s">
        <v>63</v>
      </c>
      <c r="P307" s="1" t="s">
        <v>30</v>
      </c>
      <c r="Q307" s="1" t="s">
        <v>2269</v>
      </c>
    </row>
    <row r="308" customFormat="false" ht="12.8" hidden="false" customHeight="false" outlineLevel="0" collapsed="false">
      <c r="A308" s="1" t="s">
        <v>17</v>
      </c>
      <c r="B308" s="1" t="s">
        <v>987</v>
      </c>
      <c r="C308" s="1" t="s">
        <v>19</v>
      </c>
      <c r="D308" s="1" t="s">
        <v>2270</v>
      </c>
      <c r="E308" s="1" t="s">
        <v>2270</v>
      </c>
      <c r="F308" s="1" t="s">
        <v>2271</v>
      </c>
      <c r="G308" s="1" t="s">
        <v>22</v>
      </c>
      <c r="H308" s="1" t="s">
        <v>2272</v>
      </c>
      <c r="I308" s="3" t="b">
        <f aca="false">FALSE()</f>
        <v>0</v>
      </c>
      <c r="J308" s="1" t="s">
        <v>2273</v>
      </c>
      <c r="K308" s="1" t="s">
        <v>126</v>
      </c>
      <c r="L308" s="1" t="s">
        <v>158</v>
      </c>
      <c r="M308" s="1" t="s">
        <v>2274</v>
      </c>
      <c r="N308" s="1" t="s">
        <v>2275</v>
      </c>
      <c r="O308" s="1" t="s">
        <v>320</v>
      </c>
      <c r="P308" s="1" t="s">
        <v>1263</v>
      </c>
      <c r="Q308" s="1" t="s">
        <v>2276</v>
      </c>
    </row>
    <row r="309" customFormat="false" ht="12.8" hidden="false" customHeight="false" outlineLevel="0" collapsed="false">
      <c r="A309" s="1" t="s">
        <v>17</v>
      </c>
      <c r="B309" s="1" t="s">
        <v>987</v>
      </c>
      <c r="C309" s="1" t="s">
        <v>19</v>
      </c>
      <c r="D309" s="1" t="s">
        <v>2277</v>
      </c>
      <c r="E309" s="1" t="s">
        <v>2277</v>
      </c>
      <c r="F309" s="1" t="s">
        <v>2278</v>
      </c>
      <c r="G309" s="1" t="s">
        <v>22</v>
      </c>
      <c r="H309" s="1" t="s">
        <v>2279</v>
      </c>
      <c r="I309" s="3" t="b">
        <f aca="false">FALSE()</f>
        <v>0</v>
      </c>
      <c r="J309" s="1" t="s">
        <v>2280</v>
      </c>
      <c r="K309" s="1" t="s">
        <v>126</v>
      </c>
      <c r="L309" s="1" t="s">
        <v>1098</v>
      </c>
      <c r="M309" s="1" t="s">
        <v>2281</v>
      </c>
      <c r="N309" s="1" t="s">
        <v>1181</v>
      </c>
      <c r="O309" s="1" t="s">
        <v>2282</v>
      </c>
      <c r="P309" s="1" t="s">
        <v>261</v>
      </c>
      <c r="Q309" s="1" t="s">
        <v>2283</v>
      </c>
    </row>
    <row r="310" customFormat="false" ht="12.8" hidden="false" customHeight="false" outlineLevel="0" collapsed="false">
      <c r="A310" s="1" t="s">
        <v>17</v>
      </c>
      <c r="B310" s="1" t="s">
        <v>987</v>
      </c>
      <c r="C310" s="1" t="s">
        <v>19</v>
      </c>
      <c r="D310" s="1" t="s">
        <v>2284</v>
      </c>
      <c r="E310" s="1" t="s">
        <v>2284</v>
      </c>
      <c r="F310" s="1" t="s">
        <v>2285</v>
      </c>
      <c r="G310" s="1" t="s">
        <v>22</v>
      </c>
      <c r="H310" s="1" t="s">
        <v>2286</v>
      </c>
      <c r="I310" s="3" t="b">
        <f aca="false">FALSE()</f>
        <v>0</v>
      </c>
      <c r="J310" s="1" t="s">
        <v>2287</v>
      </c>
      <c r="K310" s="1" t="s">
        <v>126</v>
      </c>
      <c r="L310" s="1" t="s">
        <v>1511</v>
      </c>
      <c r="M310" s="1" t="s">
        <v>2288</v>
      </c>
      <c r="N310" s="1" t="s">
        <v>2289</v>
      </c>
      <c r="O310" s="1" t="s">
        <v>422</v>
      </c>
      <c r="P310" s="1" t="s">
        <v>131</v>
      </c>
      <c r="Q310" s="1" t="s">
        <v>2290</v>
      </c>
    </row>
    <row r="311" customFormat="false" ht="12.8" hidden="false" customHeight="false" outlineLevel="0" collapsed="false">
      <c r="A311" s="1" t="s">
        <v>17</v>
      </c>
      <c r="B311" s="1" t="s">
        <v>987</v>
      </c>
      <c r="C311" s="1" t="s">
        <v>19</v>
      </c>
      <c r="D311" s="1" t="s">
        <v>2291</v>
      </c>
      <c r="E311" s="1" t="s">
        <v>2291</v>
      </c>
      <c r="F311" s="1" t="s">
        <v>2292</v>
      </c>
      <c r="G311" s="1" t="s">
        <v>22</v>
      </c>
      <c r="H311" s="1" t="s">
        <v>2293</v>
      </c>
      <c r="I311" s="3" t="b">
        <f aca="false">FALSE()</f>
        <v>0</v>
      </c>
      <c r="J311" s="1" t="s">
        <v>2294</v>
      </c>
      <c r="K311" s="1" t="s">
        <v>49</v>
      </c>
      <c r="L311" s="1" t="s">
        <v>915</v>
      </c>
      <c r="M311" s="1" t="s">
        <v>2295</v>
      </c>
      <c r="N311" s="1" t="s">
        <v>664</v>
      </c>
      <c r="O311" s="1" t="s">
        <v>770</v>
      </c>
      <c r="P311" s="1" t="s">
        <v>181</v>
      </c>
      <c r="Q311" s="1" t="s">
        <v>2296</v>
      </c>
    </row>
    <row r="312" customFormat="false" ht="12.8" hidden="false" customHeight="false" outlineLevel="0" collapsed="false">
      <c r="A312" s="1" t="s">
        <v>17</v>
      </c>
      <c r="B312" s="1" t="s">
        <v>987</v>
      </c>
      <c r="C312" s="1" t="s">
        <v>19</v>
      </c>
      <c r="D312" s="1" t="s">
        <v>2297</v>
      </c>
      <c r="E312" s="1" t="s">
        <v>2297</v>
      </c>
      <c r="F312" s="1" t="s">
        <v>2298</v>
      </c>
      <c r="G312" s="1" t="s">
        <v>22</v>
      </c>
      <c r="H312" s="1" t="s">
        <v>2299</v>
      </c>
      <c r="I312" s="3" t="b">
        <f aca="false">FALSE()</f>
        <v>0</v>
      </c>
      <c r="J312" s="1" t="s">
        <v>2300</v>
      </c>
      <c r="K312" s="1" t="s">
        <v>49</v>
      </c>
      <c r="L312" s="1" t="s">
        <v>2164</v>
      </c>
      <c r="M312" s="1" t="s">
        <v>2301</v>
      </c>
      <c r="N312" s="1" t="s">
        <v>41</v>
      </c>
      <c r="O312" s="1" t="s">
        <v>242</v>
      </c>
      <c r="P312" s="1" t="s">
        <v>252</v>
      </c>
      <c r="Q312" s="1" t="s">
        <v>2302</v>
      </c>
    </row>
    <row r="313" customFormat="false" ht="12.8" hidden="false" customHeight="false" outlineLevel="0" collapsed="false">
      <c r="A313" s="1" t="s">
        <v>17</v>
      </c>
      <c r="B313" s="1" t="s">
        <v>987</v>
      </c>
      <c r="C313" s="1" t="s">
        <v>19</v>
      </c>
      <c r="D313" s="1" t="s">
        <v>2303</v>
      </c>
      <c r="E313" s="1" t="s">
        <v>2303</v>
      </c>
      <c r="F313" s="1" t="s">
        <v>2304</v>
      </c>
      <c r="G313" s="1" t="s">
        <v>22</v>
      </c>
      <c r="H313" s="1" t="s">
        <v>2305</v>
      </c>
      <c r="I313" s="3" t="b">
        <f aca="false">FALSE()</f>
        <v>0</v>
      </c>
      <c r="J313" s="1" t="s">
        <v>2306</v>
      </c>
      <c r="K313" s="1" t="s">
        <v>126</v>
      </c>
      <c r="L313" s="1" t="s">
        <v>158</v>
      </c>
      <c r="M313" s="1" t="s">
        <v>2307</v>
      </c>
      <c r="N313" s="1" t="s">
        <v>1388</v>
      </c>
      <c r="O313" s="1" t="s">
        <v>624</v>
      </c>
      <c r="P313" s="1" t="s">
        <v>1263</v>
      </c>
      <c r="Q313" s="1" t="s">
        <v>2308</v>
      </c>
    </row>
    <row r="314" customFormat="false" ht="12.8" hidden="false" customHeight="false" outlineLevel="0" collapsed="false">
      <c r="A314" s="1" t="s">
        <v>17</v>
      </c>
      <c r="B314" s="1" t="s">
        <v>987</v>
      </c>
      <c r="C314" s="1" t="s">
        <v>19</v>
      </c>
      <c r="D314" s="1" t="s">
        <v>2309</v>
      </c>
      <c r="E314" s="1" t="s">
        <v>2309</v>
      </c>
      <c r="F314" s="1" t="s">
        <v>2310</v>
      </c>
      <c r="G314" s="1" t="s">
        <v>22</v>
      </c>
      <c r="H314" s="1" t="s">
        <v>2311</v>
      </c>
      <c r="I314" s="3" t="b">
        <f aca="false">FALSE()</f>
        <v>0</v>
      </c>
      <c r="J314" s="1" t="s">
        <v>2312</v>
      </c>
      <c r="K314" s="1" t="s">
        <v>365</v>
      </c>
      <c r="L314" s="1" t="s">
        <v>2313</v>
      </c>
      <c r="M314" s="1" t="s">
        <v>2314</v>
      </c>
      <c r="N314" s="1" t="s">
        <v>180</v>
      </c>
      <c r="O314" s="1" t="s">
        <v>63</v>
      </c>
      <c r="P314" s="1" t="s">
        <v>1173</v>
      </c>
      <c r="Q314" s="1" t="s">
        <v>2315</v>
      </c>
    </row>
    <row r="315" customFormat="false" ht="12.8" hidden="false" customHeight="false" outlineLevel="0" collapsed="false">
      <c r="A315" s="1" t="s">
        <v>17</v>
      </c>
      <c r="B315" s="1" t="s">
        <v>987</v>
      </c>
      <c r="C315" s="1" t="s">
        <v>19</v>
      </c>
      <c r="D315" s="1" t="s">
        <v>2316</v>
      </c>
      <c r="E315" s="1" t="s">
        <v>2316</v>
      </c>
      <c r="F315" s="1" t="s">
        <v>2317</v>
      </c>
      <c r="G315" s="1" t="s">
        <v>22</v>
      </c>
      <c r="H315" s="1" t="s">
        <v>2318</v>
      </c>
      <c r="I315" s="3" t="b">
        <f aca="false">FALSE()</f>
        <v>0</v>
      </c>
      <c r="J315" s="1" t="s">
        <v>2319</v>
      </c>
      <c r="K315" s="1" t="s">
        <v>239</v>
      </c>
      <c r="L315" s="1" t="s">
        <v>861</v>
      </c>
      <c r="M315" s="1" t="s">
        <v>2320</v>
      </c>
      <c r="N315" s="1" t="s">
        <v>41</v>
      </c>
      <c r="O315" s="1" t="s">
        <v>42</v>
      </c>
      <c r="P315" s="1" t="s">
        <v>30</v>
      </c>
      <c r="Q315" s="1" t="s">
        <v>2321</v>
      </c>
    </row>
    <row r="316" customFormat="false" ht="12.8" hidden="false" customHeight="false" outlineLevel="0" collapsed="false">
      <c r="A316" s="1" t="s">
        <v>17</v>
      </c>
      <c r="B316" s="1" t="s">
        <v>987</v>
      </c>
      <c r="C316" s="1" t="s">
        <v>19</v>
      </c>
      <c r="D316" s="1" t="s">
        <v>2322</v>
      </c>
      <c r="E316" s="1" t="s">
        <v>2322</v>
      </c>
      <c r="F316" s="1" t="s">
        <v>2323</v>
      </c>
      <c r="G316" s="1" t="s">
        <v>22</v>
      </c>
      <c r="H316" s="1" t="s">
        <v>2324</v>
      </c>
      <c r="I316" s="3" t="b">
        <f aca="false">FALSE()</f>
        <v>0</v>
      </c>
      <c r="J316" s="1" t="s">
        <v>2325</v>
      </c>
      <c r="K316" s="1" t="s">
        <v>176</v>
      </c>
      <c r="L316" s="1" t="s">
        <v>922</v>
      </c>
      <c r="M316" s="1" t="s">
        <v>2326</v>
      </c>
      <c r="N316" s="1" t="s">
        <v>63</v>
      </c>
      <c r="O316" s="1" t="s">
        <v>242</v>
      </c>
      <c r="P316" s="1" t="s">
        <v>772</v>
      </c>
      <c r="Q316" s="1" t="s">
        <v>2327</v>
      </c>
    </row>
    <row r="317" customFormat="false" ht="12.8" hidden="false" customHeight="false" outlineLevel="0" collapsed="false">
      <c r="A317" s="1" t="s">
        <v>17</v>
      </c>
      <c r="B317" s="1" t="s">
        <v>987</v>
      </c>
      <c r="C317" s="1" t="s">
        <v>19</v>
      </c>
      <c r="D317" s="1" t="s">
        <v>2328</v>
      </c>
      <c r="E317" s="1" t="s">
        <v>2328</v>
      </c>
      <c r="F317" s="1" t="s">
        <v>2329</v>
      </c>
      <c r="G317" s="1" t="s">
        <v>22</v>
      </c>
      <c r="H317" s="1" t="s">
        <v>2330</v>
      </c>
      <c r="I317" s="3" t="b">
        <f aca="false">FALSE()</f>
        <v>0</v>
      </c>
      <c r="J317" s="1" t="s">
        <v>2331</v>
      </c>
      <c r="K317" s="1" t="s">
        <v>25</v>
      </c>
      <c r="L317" s="1" t="s">
        <v>1034</v>
      </c>
      <c r="M317" s="1" t="s">
        <v>2332</v>
      </c>
      <c r="N317" s="1" t="s">
        <v>141</v>
      </c>
      <c r="O317" s="1" t="s">
        <v>120</v>
      </c>
      <c r="P317" s="1" t="s">
        <v>181</v>
      </c>
      <c r="Q317" s="1" t="s">
        <v>2333</v>
      </c>
    </row>
    <row r="318" customFormat="false" ht="12.8" hidden="false" customHeight="false" outlineLevel="0" collapsed="false">
      <c r="A318" s="1" t="s">
        <v>17</v>
      </c>
      <c r="B318" s="1" t="s">
        <v>987</v>
      </c>
      <c r="C318" s="1" t="s">
        <v>19</v>
      </c>
      <c r="D318" s="1" t="s">
        <v>2334</v>
      </c>
      <c r="E318" s="1" t="s">
        <v>2334</v>
      </c>
      <c r="F318" s="1" t="s">
        <v>2335</v>
      </c>
      <c r="G318" s="1" t="s">
        <v>22</v>
      </c>
      <c r="H318" s="1" t="s">
        <v>2336</v>
      </c>
      <c r="I318" s="3" t="b">
        <f aca="false">FALSE()</f>
        <v>0</v>
      </c>
      <c r="J318" s="1" t="s">
        <v>2337</v>
      </c>
      <c r="K318" s="1" t="s">
        <v>126</v>
      </c>
      <c r="L318" s="1" t="s">
        <v>2338</v>
      </c>
      <c r="M318" s="1" t="s">
        <v>2339</v>
      </c>
      <c r="N318" s="1" t="s">
        <v>63</v>
      </c>
      <c r="O318" s="1" t="s">
        <v>42</v>
      </c>
      <c r="P318" s="1" t="s">
        <v>161</v>
      </c>
      <c r="Q318" s="1" t="s">
        <v>2340</v>
      </c>
    </row>
    <row r="319" customFormat="false" ht="12.8" hidden="false" customHeight="false" outlineLevel="0" collapsed="false">
      <c r="A319" s="1" t="s">
        <v>17</v>
      </c>
      <c r="B319" s="1" t="s">
        <v>987</v>
      </c>
      <c r="C319" s="1" t="s">
        <v>19</v>
      </c>
      <c r="D319" s="1" t="s">
        <v>2341</v>
      </c>
      <c r="E319" s="1" t="s">
        <v>2341</v>
      </c>
      <c r="F319" s="1" t="s">
        <v>2342</v>
      </c>
      <c r="G319" s="1" t="s">
        <v>22</v>
      </c>
      <c r="H319" s="1" t="s">
        <v>2343</v>
      </c>
      <c r="I319" s="3" t="b">
        <f aca="false">FALSE()</f>
        <v>0</v>
      </c>
      <c r="J319" s="1" t="s">
        <v>2344</v>
      </c>
      <c r="K319" s="1" t="s">
        <v>25</v>
      </c>
      <c r="L319" s="1" t="s">
        <v>639</v>
      </c>
      <c r="M319" s="1" t="s">
        <v>2345</v>
      </c>
      <c r="N319" s="1" t="s">
        <v>601</v>
      </c>
      <c r="O319" s="1" t="s">
        <v>2346</v>
      </c>
      <c r="P319" s="1" t="s">
        <v>30</v>
      </c>
      <c r="Q319" s="1" t="s">
        <v>2347</v>
      </c>
    </row>
    <row r="320" customFormat="false" ht="12.8" hidden="false" customHeight="false" outlineLevel="0" collapsed="false">
      <c r="A320" s="1" t="s">
        <v>17</v>
      </c>
      <c r="B320" s="1" t="s">
        <v>987</v>
      </c>
      <c r="C320" s="1" t="s">
        <v>19</v>
      </c>
      <c r="D320" s="1" t="s">
        <v>2348</v>
      </c>
      <c r="E320" s="1" t="s">
        <v>2348</v>
      </c>
      <c r="F320" s="1" t="s">
        <v>2349</v>
      </c>
      <c r="G320" s="1" t="s">
        <v>22</v>
      </c>
      <c r="H320" s="1" t="s">
        <v>2350</v>
      </c>
      <c r="I320" s="3" t="b">
        <f aca="false">FALSE()</f>
        <v>0</v>
      </c>
      <c r="J320" s="1" t="s">
        <v>2351</v>
      </c>
      <c r="K320" s="1" t="s">
        <v>239</v>
      </c>
      <c r="L320" s="1" t="s">
        <v>861</v>
      </c>
      <c r="M320" s="1" t="s">
        <v>2352</v>
      </c>
      <c r="N320" s="1" t="s">
        <v>242</v>
      </c>
      <c r="O320" s="1" t="s">
        <v>470</v>
      </c>
      <c r="P320" s="1" t="s">
        <v>30</v>
      </c>
      <c r="Q320" s="1" t="s">
        <v>2353</v>
      </c>
    </row>
    <row r="321" customFormat="false" ht="12.8" hidden="false" customHeight="false" outlineLevel="0" collapsed="false">
      <c r="A321" s="1" t="s">
        <v>17</v>
      </c>
      <c r="B321" s="1" t="s">
        <v>987</v>
      </c>
      <c r="C321" s="1" t="s">
        <v>19</v>
      </c>
      <c r="D321" s="1" t="s">
        <v>2354</v>
      </c>
      <c r="E321" s="1" t="s">
        <v>2354</v>
      </c>
      <c r="F321" s="1" t="s">
        <v>2355</v>
      </c>
      <c r="G321" s="1" t="s">
        <v>35</v>
      </c>
      <c r="H321" s="1" t="s">
        <v>2356</v>
      </c>
      <c r="I321" s="3" t="b">
        <f aca="false">FALSE()</f>
        <v>0</v>
      </c>
      <c r="J321" s="1" t="s">
        <v>2357</v>
      </c>
      <c r="K321" s="1" t="s">
        <v>38</v>
      </c>
      <c r="L321" s="1" t="s">
        <v>84</v>
      </c>
      <c r="M321" s="1" t="s">
        <v>2358</v>
      </c>
      <c r="N321" s="1" t="s">
        <v>2359</v>
      </c>
      <c r="O321" s="1" t="s">
        <v>2360</v>
      </c>
      <c r="P321" s="1" t="s">
        <v>43</v>
      </c>
      <c r="Q321" s="1" t="s">
        <v>2361</v>
      </c>
    </row>
    <row r="322" customFormat="false" ht="12.8" hidden="false" customHeight="false" outlineLevel="0" collapsed="false">
      <c r="A322" s="1" t="s">
        <v>17</v>
      </c>
      <c r="B322" s="1" t="s">
        <v>987</v>
      </c>
      <c r="C322" s="1" t="s">
        <v>19</v>
      </c>
      <c r="D322" s="1" t="s">
        <v>2362</v>
      </c>
      <c r="E322" s="1" t="s">
        <v>2362</v>
      </c>
      <c r="F322" s="1" t="s">
        <v>2363</v>
      </c>
      <c r="G322" s="1" t="s">
        <v>22</v>
      </c>
      <c r="H322" s="1" t="s">
        <v>2364</v>
      </c>
      <c r="I322" s="3" t="b">
        <f aca="false">FALSE()</f>
        <v>0</v>
      </c>
      <c r="J322" s="1" t="s">
        <v>2365</v>
      </c>
      <c r="K322" s="1" t="s">
        <v>137</v>
      </c>
      <c r="L322" s="1" t="s">
        <v>853</v>
      </c>
      <c r="M322" s="1" t="s">
        <v>2366</v>
      </c>
      <c r="N322" s="1" t="s">
        <v>2367</v>
      </c>
      <c r="O322" s="1" t="s">
        <v>242</v>
      </c>
      <c r="P322" s="1" t="s">
        <v>2368</v>
      </c>
      <c r="Q322" s="1" t="s">
        <v>2369</v>
      </c>
    </row>
    <row r="323" customFormat="false" ht="12.8" hidden="false" customHeight="false" outlineLevel="0" collapsed="false">
      <c r="A323" s="1" t="s">
        <v>17</v>
      </c>
      <c r="B323" s="1" t="s">
        <v>987</v>
      </c>
      <c r="C323" s="1" t="s">
        <v>19</v>
      </c>
      <c r="D323" s="1" t="s">
        <v>2370</v>
      </c>
      <c r="E323" s="1" t="s">
        <v>2370</v>
      </c>
      <c r="F323" s="1" t="s">
        <v>2371</v>
      </c>
      <c r="G323" s="1" t="s">
        <v>22</v>
      </c>
      <c r="H323" s="1" t="s">
        <v>2372</v>
      </c>
      <c r="I323" s="3" t="b">
        <f aca="false">FALSE()</f>
        <v>0</v>
      </c>
      <c r="J323" s="1" t="s">
        <v>2373</v>
      </c>
      <c r="K323" s="1" t="s">
        <v>147</v>
      </c>
      <c r="L323" s="1" t="s">
        <v>1372</v>
      </c>
      <c r="M323" s="1" t="s">
        <v>2374</v>
      </c>
      <c r="N323" s="1" t="s">
        <v>2375</v>
      </c>
      <c r="O323" s="1" t="s">
        <v>2376</v>
      </c>
      <c r="P323" s="1" t="s">
        <v>252</v>
      </c>
      <c r="Q323" s="1" t="s">
        <v>2377</v>
      </c>
    </row>
    <row r="324" customFormat="false" ht="12.8" hidden="false" customHeight="false" outlineLevel="0" collapsed="false">
      <c r="A324" s="1" t="s">
        <v>17</v>
      </c>
      <c r="B324" s="1" t="s">
        <v>987</v>
      </c>
      <c r="C324" s="1" t="s">
        <v>19</v>
      </c>
      <c r="D324" s="1" t="s">
        <v>2378</v>
      </c>
      <c r="E324" s="1" t="s">
        <v>2378</v>
      </c>
      <c r="F324" s="1" t="s">
        <v>2379</v>
      </c>
      <c r="G324" s="1" t="s">
        <v>22</v>
      </c>
      <c r="H324" s="1" t="s">
        <v>2380</v>
      </c>
      <c r="I324" s="3" t="b">
        <f aca="false">FALSE()</f>
        <v>0</v>
      </c>
      <c r="J324" s="1" t="s">
        <v>2381</v>
      </c>
      <c r="K324" s="1" t="s">
        <v>176</v>
      </c>
      <c r="L324" s="1" t="s">
        <v>2112</v>
      </c>
      <c r="M324" s="1" t="s">
        <v>2382</v>
      </c>
      <c r="N324" s="1" t="s">
        <v>2383</v>
      </c>
      <c r="O324" s="1" t="s">
        <v>2384</v>
      </c>
      <c r="P324" s="1" t="s">
        <v>181</v>
      </c>
      <c r="Q324" s="1" t="s">
        <v>2385</v>
      </c>
    </row>
    <row r="325" customFormat="false" ht="12.8" hidden="false" customHeight="false" outlineLevel="0" collapsed="false">
      <c r="A325" s="1" t="s">
        <v>17</v>
      </c>
      <c r="B325" s="1" t="s">
        <v>987</v>
      </c>
      <c r="C325" s="1" t="s">
        <v>19</v>
      </c>
      <c r="D325" s="1" t="s">
        <v>2386</v>
      </c>
      <c r="E325" s="1" t="s">
        <v>2386</v>
      </c>
      <c r="F325" s="1" t="s">
        <v>2387</v>
      </c>
      <c r="G325" s="1" t="s">
        <v>22</v>
      </c>
      <c r="H325" s="1" t="s">
        <v>2388</v>
      </c>
      <c r="I325" s="3" t="b">
        <f aca="false">FALSE()</f>
        <v>0</v>
      </c>
      <c r="J325" s="1" t="s">
        <v>2389</v>
      </c>
      <c r="K325" s="1" t="s">
        <v>197</v>
      </c>
      <c r="L325" s="1" t="s">
        <v>1284</v>
      </c>
      <c r="M325" s="1" t="s">
        <v>2390</v>
      </c>
      <c r="N325" s="1" t="s">
        <v>1220</v>
      </c>
      <c r="O325" s="1" t="s">
        <v>242</v>
      </c>
      <c r="P325" s="1" t="s">
        <v>747</v>
      </c>
      <c r="Q325" s="1" t="s">
        <v>2391</v>
      </c>
    </row>
    <row r="326" customFormat="false" ht="12.8" hidden="false" customHeight="false" outlineLevel="0" collapsed="false">
      <c r="A326" s="1" t="s">
        <v>17</v>
      </c>
      <c r="B326" s="1" t="s">
        <v>987</v>
      </c>
      <c r="C326" s="1" t="s">
        <v>19</v>
      </c>
      <c r="D326" s="1" t="s">
        <v>2392</v>
      </c>
      <c r="E326" s="1" t="s">
        <v>2392</v>
      </c>
      <c r="F326" s="1" t="s">
        <v>2393</v>
      </c>
      <c r="G326" s="1" t="s">
        <v>22</v>
      </c>
      <c r="H326" s="1" t="s">
        <v>2394</v>
      </c>
      <c r="I326" s="3" t="b">
        <f aca="false">FALSE()</f>
        <v>0</v>
      </c>
      <c r="J326" s="1" t="s">
        <v>2395</v>
      </c>
      <c r="K326" s="1" t="s">
        <v>197</v>
      </c>
      <c r="L326" s="1" t="s">
        <v>2396</v>
      </c>
      <c r="M326" s="1" t="s">
        <v>2397</v>
      </c>
      <c r="N326" s="1" t="s">
        <v>2398</v>
      </c>
      <c r="O326" s="1" t="s">
        <v>377</v>
      </c>
      <c r="P326" s="1" t="s">
        <v>1220</v>
      </c>
      <c r="Q326" s="1" t="s">
        <v>2399</v>
      </c>
    </row>
    <row r="327" customFormat="false" ht="12.8" hidden="false" customHeight="false" outlineLevel="0" collapsed="false">
      <c r="A327" s="1" t="s">
        <v>17</v>
      </c>
      <c r="B327" s="1" t="s">
        <v>987</v>
      </c>
      <c r="C327" s="1" t="s">
        <v>19</v>
      </c>
      <c r="D327" s="1" t="s">
        <v>2400</v>
      </c>
      <c r="E327" s="1" t="s">
        <v>2400</v>
      </c>
      <c r="F327" s="1" t="s">
        <v>2401</v>
      </c>
      <c r="G327" s="1" t="s">
        <v>22</v>
      </c>
      <c r="H327" s="1" t="s">
        <v>2402</v>
      </c>
      <c r="I327" s="3" t="b">
        <f aca="false">FALSE()</f>
        <v>0</v>
      </c>
      <c r="J327" s="1" t="s">
        <v>2403</v>
      </c>
      <c r="K327" s="1" t="s">
        <v>147</v>
      </c>
      <c r="L327" s="1" t="s">
        <v>2267</v>
      </c>
      <c r="M327" s="1" t="s">
        <v>2404</v>
      </c>
      <c r="N327" s="1" t="s">
        <v>2405</v>
      </c>
      <c r="O327" s="1" t="s">
        <v>895</v>
      </c>
      <c r="P327" s="1" t="s">
        <v>352</v>
      </c>
      <c r="Q327" s="1" t="s">
        <v>2406</v>
      </c>
    </row>
    <row r="328" customFormat="false" ht="12.8" hidden="false" customHeight="false" outlineLevel="0" collapsed="false">
      <c r="A328" s="1" t="s">
        <v>17</v>
      </c>
      <c r="B328" s="1" t="s">
        <v>987</v>
      </c>
      <c r="C328" s="1" t="s">
        <v>19</v>
      </c>
      <c r="D328" s="1" t="s">
        <v>2407</v>
      </c>
      <c r="E328" s="1" t="s">
        <v>2407</v>
      </c>
      <c r="F328" s="1" t="s">
        <v>2408</v>
      </c>
      <c r="G328" s="1" t="s">
        <v>22</v>
      </c>
      <c r="H328" s="1" t="s">
        <v>2409</v>
      </c>
      <c r="I328" s="3" t="b">
        <f aca="false">FALSE()</f>
        <v>0</v>
      </c>
      <c r="J328" s="1" t="s">
        <v>2410</v>
      </c>
      <c r="K328" s="1" t="s">
        <v>197</v>
      </c>
      <c r="L328" s="1" t="s">
        <v>1276</v>
      </c>
      <c r="M328" s="1" t="s">
        <v>2411</v>
      </c>
      <c r="N328" s="1" t="s">
        <v>2412</v>
      </c>
      <c r="O328" s="1" t="s">
        <v>2413</v>
      </c>
      <c r="P328" s="1" t="s">
        <v>789</v>
      </c>
      <c r="Q328" s="1" t="s">
        <v>2414</v>
      </c>
    </row>
    <row r="329" customFormat="false" ht="12.8" hidden="false" customHeight="false" outlineLevel="0" collapsed="false">
      <c r="A329" s="1" t="s">
        <v>17</v>
      </c>
      <c r="B329" s="1" t="s">
        <v>987</v>
      </c>
      <c r="C329" s="1" t="s">
        <v>19</v>
      </c>
      <c r="D329" s="1" t="s">
        <v>2415</v>
      </c>
      <c r="E329" s="1" t="s">
        <v>2415</v>
      </c>
      <c r="F329" s="1" t="s">
        <v>2416</v>
      </c>
      <c r="G329" s="1" t="s">
        <v>22</v>
      </c>
      <c r="H329" s="1" t="s">
        <v>2417</v>
      </c>
      <c r="I329" s="3" t="b">
        <f aca="false">FALSE()</f>
        <v>0</v>
      </c>
      <c r="J329" s="1" t="s">
        <v>2418</v>
      </c>
      <c r="K329" s="1" t="s">
        <v>147</v>
      </c>
      <c r="L329" s="1" t="s">
        <v>1142</v>
      </c>
      <c r="M329" s="1" t="s">
        <v>2419</v>
      </c>
      <c r="N329" s="1" t="s">
        <v>2420</v>
      </c>
      <c r="O329" s="1" t="s">
        <v>342</v>
      </c>
      <c r="P329" s="1" t="s">
        <v>1173</v>
      </c>
      <c r="Q329" s="1" t="s">
        <v>2421</v>
      </c>
    </row>
    <row r="330" customFormat="false" ht="12.8" hidden="false" customHeight="false" outlineLevel="0" collapsed="false">
      <c r="A330" s="1" t="s">
        <v>17</v>
      </c>
      <c r="B330" s="1" t="s">
        <v>987</v>
      </c>
      <c r="C330" s="1" t="s">
        <v>19</v>
      </c>
      <c r="D330" s="1" t="s">
        <v>2422</v>
      </c>
      <c r="E330" s="1" t="s">
        <v>2422</v>
      </c>
      <c r="F330" s="1" t="s">
        <v>2423</v>
      </c>
      <c r="G330" s="1" t="s">
        <v>22</v>
      </c>
      <c r="H330" s="1" t="s">
        <v>2424</v>
      </c>
      <c r="I330" s="3" t="b">
        <f aca="false">FALSE()</f>
        <v>0</v>
      </c>
      <c r="J330" s="1" t="s">
        <v>2425</v>
      </c>
      <c r="K330" s="1" t="s">
        <v>126</v>
      </c>
      <c r="L330" s="1" t="s">
        <v>2426</v>
      </c>
      <c r="M330" s="1" t="s">
        <v>2427</v>
      </c>
      <c r="N330" s="1" t="s">
        <v>2428</v>
      </c>
      <c r="O330" s="1" t="s">
        <v>2429</v>
      </c>
      <c r="P330" s="1" t="s">
        <v>312</v>
      </c>
      <c r="Q330" s="1" t="s">
        <v>2430</v>
      </c>
    </row>
    <row r="331" customFormat="false" ht="12.8" hidden="false" customHeight="false" outlineLevel="0" collapsed="false">
      <c r="A331" s="1" t="s">
        <v>17</v>
      </c>
      <c r="B331" s="1" t="s">
        <v>987</v>
      </c>
      <c r="C331" s="1" t="s">
        <v>19</v>
      </c>
      <c r="D331" s="1" t="s">
        <v>2431</v>
      </c>
      <c r="E331" s="1" t="s">
        <v>2431</v>
      </c>
      <c r="F331" s="1" t="s">
        <v>2432</v>
      </c>
      <c r="G331" s="1" t="s">
        <v>35</v>
      </c>
      <c r="H331" s="1" t="s">
        <v>2433</v>
      </c>
      <c r="I331" s="3" t="b">
        <f aca="false">FALSE()</f>
        <v>0</v>
      </c>
      <c r="J331" s="1" t="s">
        <v>2434</v>
      </c>
      <c r="K331" s="1" t="s">
        <v>60</v>
      </c>
      <c r="L331" s="1" t="s">
        <v>84</v>
      </c>
      <c r="M331" s="1" t="s">
        <v>2435</v>
      </c>
      <c r="N331" s="1" t="s">
        <v>902</v>
      </c>
      <c r="O331" s="1" t="s">
        <v>902</v>
      </c>
      <c r="P331" s="1" t="s">
        <v>43</v>
      </c>
      <c r="Q331" s="1" t="s">
        <v>2436</v>
      </c>
    </row>
    <row r="332" customFormat="false" ht="12.8" hidden="false" customHeight="false" outlineLevel="0" collapsed="false">
      <c r="A332" s="1" t="s">
        <v>17</v>
      </c>
      <c r="B332" s="1" t="s">
        <v>987</v>
      </c>
      <c r="C332" s="1" t="s">
        <v>19</v>
      </c>
      <c r="D332" s="1" t="s">
        <v>2437</v>
      </c>
      <c r="E332" s="1" t="s">
        <v>2437</v>
      </c>
      <c r="F332" s="1" t="s">
        <v>2438</v>
      </c>
      <c r="G332" s="1" t="s">
        <v>22</v>
      </c>
      <c r="H332" s="1" t="s">
        <v>2439</v>
      </c>
      <c r="I332" s="3" t="b">
        <f aca="false">FALSE()</f>
        <v>0</v>
      </c>
      <c r="J332" s="1" t="s">
        <v>2440</v>
      </c>
      <c r="K332" s="1" t="s">
        <v>176</v>
      </c>
      <c r="L332" s="1" t="s">
        <v>1341</v>
      </c>
      <c r="M332" s="1" t="s">
        <v>2441</v>
      </c>
      <c r="N332" s="1" t="s">
        <v>641</v>
      </c>
      <c r="O332" s="1" t="s">
        <v>2442</v>
      </c>
      <c r="P332" s="1" t="s">
        <v>270</v>
      </c>
      <c r="Q332" s="1" t="s">
        <v>2443</v>
      </c>
    </row>
    <row r="333" customFormat="false" ht="12.8" hidden="false" customHeight="false" outlineLevel="0" collapsed="false">
      <c r="A333" s="1" t="s">
        <v>17</v>
      </c>
      <c r="B333" s="1" t="s">
        <v>987</v>
      </c>
      <c r="C333" s="1" t="s">
        <v>19</v>
      </c>
      <c r="D333" s="1" t="s">
        <v>2444</v>
      </c>
      <c r="E333" s="1" t="s">
        <v>2444</v>
      </c>
      <c r="F333" s="1" t="s">
        <v>2445</v>
      </c>
      <c r="G333" s="1" t="s">
        <v>22</v>
      </c>
      <c r="H333" s="1" t="s">
        <v>2446</v>
      </c>
      <c r="I333" s="3" t="b">
        <f aca="false">FALSE()</f>
        <v>0</v>
      </c>
      <c r="J333" s="1" t="s">
        <v>2447</v>
      </c>
      <c r="K333" s="1" t="s">
        <v>49</v>
      </c>
      <c r="L333" s="1" t="s">
        <v>2214</v>
      </c>
      <c r="M333" s="1" t="s">
        <v>2448</v>
      </c>
      <c r="N333" s="1" t="s">
        <v>2449</v>
      </c>
      <c r="O333" s="1" t="s">
        <v>242</v>
      </c>
      <c r="P333" s="1" t="s">
        <v>252</v>
      </c>
      <c r="Q333" s="1" t="s">
        <v>2450</v>
      </c>
    </row>
    <row r="334" customFormat="false" ht="12.8" hidden="false" customHeight="false" outlineLevel="0" collapsed="false">
      <c r="A334" s="1" t="s">
        <v>17</v>
      </c>
      <c r="B334" s="1" t="s">
        <v>987</v>
      </c>
      <c r="C334" s="1" t="s">
        <v>19</v>
      </c>
      <c r="D334" s="1" t="s">
        <v>2451</v>
      </c>
      <c r="E334" s="1" t="s">
        <v>2451</v>
      </c>
      <c r="F334" s="1" t="s">
        <v>2452</v>
      </c>
      <c r="G334" s="1" t="s">
        <v>22</v>
      </c>
      <c r="H334" s="1" t="s">
        <v>2453</v>
      </c>
      <c r="I334" s="3" t="b">
        <f aca="false">FALSE()</f>
        <v>0</v>
      </c>
      <c r="J334" s="1" t="s">
        <v>2454</v>
      </c>
      <c r="K334" s="1" t="s">
        <v>137</v>
      </c>
      <c r="L334" s="1" t="s">
        <v>983</v>
      </c>
      <c r="M334" s="1" t="s">
        <v>2455</v>
      </c>
      <c r="N334" s="1" t="s">
        <v>541</v>
      </c>
      <c r="O334" s="1" t="s">
        <v>1388</v>
      </c>
      <c r="P334" s="1" t="s">
        <v>30</v>
      </c>
      <c r="Q334" s="1" t="s">
        <v>2456</v>
      </c>
    </row>
    <row r="335" customFormat="false" ht="12.8" hidden="false" customHeight="false" outlineLevel="0" collapsed="false">
      <c r="A335" s="1" t="s">
        <v>17</v>
      </c>
      <c r="B335" s="1" t="s">
        <v>987</v>
      </c>
      <c r="C335" s="1" t="s">
        <v>19</v>
      </c>
      <c r="D335" s="1" t="s">
        <v>2457</v>
      </c>
      <c r="E335" s="1" t="s">
        <v>2457</v>
      </c>
      <c r="F335" s="1" t="s">
        <v>2458</v>
      </c>
      <c r="G335" s="1" t="s">
        <v>22</v>
      </c>
      <c r="H335" s="1" t="s">
        <v>2459</v>
      </c>
      <c r="I335" s="3" t="b">
        <f aca="false">FALSE()</f>
        <v>0</v>
      </c>
      <c r="J335" s="1" t="s">
        <v>2460</v>
      </c>
      <c r="K335" s="1" t="s">
        <v>147</v>
      </c>
      <c r="L335" s="1" t="s">
        <v>846</v>
      </c>
      <c r="M335" s="1" t="s">
        <v>2461</v>
      </c>
      <c r="N335" s="1" t="s">
        <v>351</v>
      </c>
      <c r="O335" s="1" t="s">
        <v>130</v>
      </c>
      <c r="P335" s="1" t="s">
        <v>761</v>
      </c>
      <c r="Q335" s="1" t="s">
        <v>2462</v>
      </c>
    </row>
    <row r="336" customFormat="false" ht="12.8" hidden="false" customHeight="false" outlineLevel="0" collapsed="false">
      <c r="A336" s="1" t="s">
        <v>17</v>
      </c>
      <c r="B336" s="1" t="s">
        <v>2463</v>
      </c>
      <c r="C336" s="1" t="s">
        <v>19</v>
      </c>
      <c r="D336" s="1" t="s">
        <v>2464</v>
      </c>
      <c r="E336" s="1" t="s">
        <v>2464</v>
      </c>
      <c r="F336" s="1" t="s">
        <v>2465</v>
      </c>
      <c r="G336" s="1" t="s">
        <v>22</v>
      </c>
      <c r="H336" s="1" t="s">
        <v>2466</v>
      </c>
      <c r="I336" s="3" t="b">
        <f aca="false">FALSE()</f>
        <v>0</v>
      </c>
      <c r="J336" s="1" t="s">
        <v>2467</v>
      </c>
      <c r="K336" s="1" t="s">
        <v>126</v>
      </c>
      <c r="L336" s="1" t="s">
        <v>205</v>
      </c>
      <c r="M336" s="1" t="s">
        <v>2468</v>
      </c>
      <c r="N336" s="1" t="s">
        <v>2469</v>
      </c>
      <c r="O336" s="1" t="s">
        <v>895</v>
      </c>
      <c r="P336" s="1" t="s">
        <v>969</v>
      </c>
      <c r="Q336" s="1" t="s">
        <v>2470</v>
      </c>
    </row>
    <row r="337" customFormat="false" ht="12.8" hidden="false" customHeight="false" outlineLevel="0" collapsed="false">
      <c r="A337" s="1" t="s">
        <v>17</v>
      </c>
      <c r="B337" s="1" t="s">
        <v>2463</v>
      </c>
      <c r="C337" s="1" t="s">
        <v>19</v>
      </c>
      <c r="D337" s="1" t="s">
        <v>2471</v>
      </c>
      <c r="E337" s="1" t="s">
        <v>2471</v>
      </c>
      <c r="F337" s="1" t="s">
        <v>2472</v>
      </c>
      <c r="G337" s="1" t="s">
        <v>22</v>
      </c>
      <c r="H337" s="1" t="s">
        <v>2473</v>
      </c>
      <c r="I337" s="3" t="b">
        <f aca="false">FALSE()</f>
        <v>0</v>
      </c>
      <c r="J337" s="1" t="s">
        <v>2474</v>
      </c>
      <c r="K337" s="1" t="s">
        <v>49</v>
      </c>
      <c r="L337" s="1" t="s">
        <v>1196</v>
      </c>
      <c r="M337" s="1" t="s">
        <v>2475</v>
      </c>
      <c r="N337" s="1" t="s">
        <v>617</v>
      </c>
      <c r="O337" s="1" t="s">
        <v>42</v>
      </c>
      <c r="P337" s="1" t="s">
        <v>2476</v>
      </c>
      <c r="Q337" s="1" t="s">
        <v>2477</v>
      </c>
    </row>
    <row r="338" customFormat="false" ht="12.8" hidden="false" customHeight="false" outlineLevel="0" collapsed="false">
      <c r="A338" s="1" t="s">
        <v>17</v>
      </c>
      <c r="B338" s="1" t="s">
        <v>2463</v>
      </c>
      <c r="C338" s="1" t="s">
        <v>19</v>
      </c>
      <c r="D338" s="1" t="s">
        <v>2478</v>
      </c>
      <c r="E338" s="1" t="s">
        <v>2478</v>
      </c>
      <c r="F338" s="1" t="s">
        <v>2479</v>
      </c>
      <c r="G338" s="1" t="s">
        <v>22</v>
      </c>
      <c r="H338" s="1" t="s">
        <v>2480</v>
      </c>
      <c r="I338" s="3" t="b">
        <f aca="false">FALSE()</f>
        <v>0</v>
      </c>
      <c r="J338" s="1" t="s">
        <v>2481</v>
      </c>
      <c r="K338" s="1" t="s">
        <v>197</v>
      </c>
      <c r="L338" s="1" t="s">
        <v>1276</v>
      </c>
      <c r="M338" s="1" t="s">
        <v>2482</v>
      </c>
      <c r="N338" s="1" t="s">
        <v>463</v>
      </c>
      <c r="O338" s="1" t="s">
        <v>470</v>
      </c>
      <c r="P338" s="1" t="s">
        <v>181</v>
      </c>
      <c r="Q338" s="1" t="s">
        <v>2483</v>
      </c>
    </row>
    <row r="339" customFormat="false" ht="12.8" hidden="false" customHeight="false" outlineLevel="0" collapsed="false">
      <c r="A339" s="1" t="s">
        <v>17</v>
      </c>
      <c r="B339" s="1" t="s">
        <v>2463</v>
      </c>
      <c r="C339" s="1" t="s">
        <v>19</v>
      </c>
      <c r="D339" s="1" t="s">
        <v>2484</v>
      </c>
      <c r="E339" s="1" t="s">
        <v>2484</v>
      </c>
      <c r="F339" s="1" t="s">
        <v>2485</v>
      </c>
      <c r="G339" s="1" t="s">
        <v>22</v>
      </c>
      <c r="H339" s="1" t="s">
        <v>2486</v>
      </c>
      <c r="I339" s="3" t="b">
        <f aca="false">FALSE()</f>
        <v>0</v>
      </c>
      <c r="J339" s="1" t="s">
        <v>2487</v>
      </c>
      <c r="K339" s="1" t="s">
        <v>147</v>
      </c>
      <c r="L339" s="1" t="s">
        <v>2488</v>
      </c>
      <c r="M339" s="1" t="s">
        <v>2489</v>
      </c>
      <c r="N339" s="1" t="s">
        <v>1313</v>
      </c>
      <c r="O339" s="1" t="s">
        <v>2490</v>
      </c>
      <c r="P339" s="1" t="s">
        <v>30</v>
      </c>
      <c r="Q339" s="1" t="s">
        <v>2491</v>
      </c>
    </row>
    <row r="340" customFormat="false" ht="12.8" hidden="false" customHeight="false" outlineLevel="0" collapsed="false">
      <c r="A340" s="1" t="s">
        <v>17</v>
      </c>
      <c r="B340" s="1" t="s">
        <v>2463</v>
      </c>
      <c r="C340" s="1" t="s">
        <v>19</v>
      </c>
      <c r="D340" s="1" t="s">
        <v>2492</v>
      </c>
      <c r="E340" s="1" t="s">
        <v>2492</v>
      </c>
      <c r="F340" s="1" t="s">
        <v>2493</v>
      </c>
      <c r="G340" s="1" t="s">
        <v>22</v>
      </c>
      <c r="H340" s="1" t="s">
        <v>2494</v>
      </c>
      <c r="I340" s="3" t="b">
        <f aca="false">FALSE()</f>
        <v>0</v>
      </c>
      <c r="J340" s="1" t="s">
        <v>2495</v>
      </c>
      <c r="K340" s="1" t="s">
        <v>49</v>
      </c>
      <c r="L340" s="1" t="s">
        <v>1855</v>
      </c>
      <c r="M340" s="1" t="s">
        <v>2496</v>
      </c>
      <c r="N340" s="1" t="s">
        <v>2497</v>
      </c>
      <c r="O340" s="1" t="s">
        <v>242</v>
      </c>
      <c r="P340" s="1" t="s">
        <v>601</v>
      </c>
      <c r="Q340" s="1" t="s">
        <v>2498</v>
      </c>
    </row>
    <row r="341" customFormat="false" ht="12.8" hidden="false" customHeight="false" outlineLevel="0" collapsed="false">
      <c r="A341" s="1" t="s">
        <v>17</v>
      </c>
      <c r="B341" s="1" t="s">
        <v>2463</v>
      </c>
      <c r="C341" s="1" t="s">
        <v>19</v>
      </c>
      <c r="D341" s="1" t="s">
        <v>2499</v>
      </c>
      <c r="E341" s="1" t="s">
        <v>2499</v>
      </c>
      <c r="F341" s="1" t="s">
        <v>2500</v>
      </c>
      <c r="G341" s="1" t="s">
        <v>22</v>
      </c>
      <c r="H341" s="1" t="s">
        <v>2501</v>
      </c>
      <c r="I341" s="3" t="b">
        <f aca="false">FALSE()</f>
        <v>0</v>
      </c>
      <c r="J341" s="1" t="s">
        <v>2502</v>
      </c>
      <c r="K341" s="1" t="s">
        <v>137</v>
      </c>
      <c r="L341" s="1" t="s">
        <v>1341</v>
      </c>
      <c r="M341" s="1" t="s">
        <v>2503</v>
      </c>
      <c r="N341" s="1" t="s">
        <v>2504</v>
      </c>
      <c r="O341" s="1" t="s">
        <v>1344</v>
      </c>
      <c r="P341" s="1" t="s">
        <v>747</v>
      </c>
      <c r="Q341" s="1" t="s">
        <v>2505</v>
      </c>
    </row>
    <row r="342" customFormat="false" ht="12.8" hidden="false" customHeight="false" outlineLevel="0" collapsed="false">
      <c r="A342" s="1" t="s">
        <v>17</v>
      </c>
      <c r="B342" s="1" t="s">
        <v>2463</v>
      </c>
      <c r="C342" s="1" t="s">
        <v>19</v>
      </c>
      <c r="D342" s="1" t="s">
        <v>2506</v>
      </c>
      <c r="E342" s="1" t="s">
        <v>2506</v>
      </c>
      <c r="F342" s="1" t="s">
        <v>2507</v>
      </c>
      <c r="G342" s="1" t="s">
        <v>22</v>
      </c>
      <c r="H342" s="1" t="s">
        <v>2508</v>
      </c>
      <c r="I342" s="3" t="b">
        <f aca="false">FALSE()</f>
        <v>0</v>
      </c>
      <c r="J342" s="1" t="s">
        <v>2509</v>
      </c>
      <c r="K342" s="1" t="s">
        <v>147</v>
      </c>
      <c r="L342" s="1" t="s">
        <v>2510</v>
      </c>
      <c r="M342" s="1" t="s">
        <v>2511</v>
      </c>
      <c r="N342" s="1" t="s">
        <v>392</v>
      </c>
      <c r="O342" s="1" t="s">
        <v>392</v>
      </c>
      <c r="P342" s="1" t="s">
        <v>30</v>
      </c>
      <c r="Q342" s="1" t="s">
        <v>2512</v>
      </c>
    </row>
    <row r="343" customFormat="false" ht="12.8" hidden="false" customHeight="false" outlineLevel="0" collapsed="false">
      <c r="A343" s="1" t="s">
        <v>17</v>
      </c>
      <c r="B343" s="1" t="s">
        <v>2463</v>
      </c>
      <c r="C343" s="1" t="s">
        <v>19</v>
      </c>
      <c r="D343" s="1" t="s">
        <v>2513</v>
      </c>
      <c r="E343" s="1" t="s">
        <v>2513</v>
      </c>
      <c r="F343" s="1" t="s">
        <v>2514</v>
      </c>
      <c r="G343" s="1" t="s">
        <v>22</v>
      </c>
      <c r="H343" s="1" t="s">
        <v>2515</v>
      </c>
      <c r="I343" s="3" t="b">
        <f aca="false">FALSE()</f>
        <v>0</v>
      </c>
      <c r="J343" s="1" t="s">
        <v>2516</v>
      </c>
      <c r="K343" s="1" t="s">
        <v>365</v>
      </c>
      <c r="L343" s="1" t="s">
        <v>992</v>
      </c>
      <c r="M343" s="1" t="s">
        <v>2517</v>
      </c>
      <c r="N343" s="1" t="s">
        <v>2229</v>
      </c>
      <c r="O343" s="1" t="s">
        <v>902</v>
      </c>
      <c r="P343" s="1" t="s">
        <v>181</v>
      </c>
      <c r="Q343" s="1" t="s">
        <v>2518</v>
      </c>
    </row>
    <row r="344" customFormat="false" ht="12.8" hidden="false" customHeight="false" outlineLevel="0" collapsed="false">
      <c r="A344" s="1" t="s">
        <v>17</v>
      </c>
      <c r="B344" s="1" t="s">
        <v>2463</v>
      </c>
      <c r="C344" s="1" t="s">
        <v>19</v>
      </c>
      <c r="D344" s="1" t="s">
        <v>2519</v>
      </c>
      <c r="E344" s="1" t="s">
        <v>2519</v>
      </c>
      <c r="F344" s="1" t="s">
        <v>2520</v>
      </c>
      <c r="G344" s="1" t="s">
        <v>22</v>
      </c>
      <c r="H344" s="1" t="s">
        <v>2521</v>
      </c>
      <c r="I344" s="3" t="b">
        <f aca="false">FALSE()</f>
        <v>0</v>
      </c>
      <c r="J344" s="1" t="s">
        <v>2522</v>
      </c>
      <c r="K344" s="1" t="s">
        <v>126</v>
      </c>
      <c r="L344" s="1" t="s">
        <v>158</v>
      </c>
      <c r="M344" s="1" t="s">
        <v>2523</v>
      </c>
      <c r="N344" s="1" t="s">
        <v>2524</v>
      </c>
      <c r="O344" s="1" t="s">
        <v>1008</v>
      </c>
      <c r="P344" s="1" t="s">
        <v>1182</v>
      </c>
      <c r="Q344" s="1" t="s">
        <v>2525</v>
      </c>
    </row>
    <row r="345" customFormat="false" ht="12.8" hidden="false" customHeight="false" outlineLevel="0" collapsed="false">
      <c r="A345" s="1" t="s">
        <v>17</v>
      </c>
      <c r="B345" s="1" t="s">
        <v>2463</v>
      </c>
      <c r="C345" s="1" t="s">
        <v>19</v>
      </c>
      <c r="D345" s="1" t="s">
        <v>2526</v>
      </c>
      <c r="E345" s="1" t="s">
        <v>2526</v>
      </c>
      <c r="F345" s="1" t="s">
        <v>2527</v>
      </c>
      <c r="G345" s="1" t="s">
        <v>22</v>
      </c>
      <c r="H345" s="1" t="s">
        <v>2528</v>
      </c>
      <c r="I345" s="3" t="b">
        <f aca="false">FALSE()</f>
        <v>0</v>
      </c>
      <c r="J345" s="1" t="s">
        <v>2529</v>
      </c>
      <c r="K345" s="1" t="s">
        <v>147</v>
      </c>
      <c r="L345" s="1" t="s">
        <v>1879</v>
      </c>
      <c r="M345" s="1" t="s">
        <v>2530</v>
      </c>
      <c r="N345" s="1" t="s">
        <v>270</v>
      </c>
      <c r="O345" s="1" t="s">
        <v>141</v>
      </c>
      <c r="P345" s="1" t="s">
        <v>352</v>
      </c>
      <c r="Q345" s="1" t="s">
        <v>2531</v>
      </c>
    </row>
    <row r="346" customFormat="false" ht="12.8" hidden="false" customHeight="false" outlineLevel="0" collapsed="false">
      <c r="A346" s="1" t="s">
        <v>17</v>
      </c>
      <c r="B346" s="1" t="s">
        <v>2463</v>
      </c>
      <c r="C346" s="1" t="s">
        <v>19</v>
      </c>
      <c r="D346" s="1" t="s">
        <v>2532</v>
      </c>
      <c r="E346" s="1" t="s">
        <v>2532</v>
      </c>
      <c r="F346" s="1" t="s">
        <v>2533</v>
      </c>
      <c r="G346" s="1" t="s">
        <v>22</v>
      </c>
      <c r="H346" s="1" t="s">
        <v>2534</v>
      </c>
      <c r="I346" s="3" t="b">
        <f aca="false">FALSE()</f>
        <v>0</v>
      </c>
      <c r="J346" s="1" t="s">
        <v>2535</v>
      </c>
      <c r="K346" s="1" t="s">
        <v>49</v>
      </c>
      <c r="L346" s="1" t="s">
        <v>358</v>
      </c>
      <c r="M346" s="1" t="s">
        <v>2536</v>
      </c>
      <c r="N346" s="1" t="s">
        <v>242</v>
      </c>
      <c r="O346" s="1" t="s">
        <v>902</v>
      </c>
      <c r="P346" s="1" t="s">
        <v>29</v>
      </c>
      <c r="Q346" s="1" t="s">
        <v>2537</v>
      </c>
    </row>
    <row r="347" customFormat="false" ht="12.8" hidden="false" customHeight="false" outlineLevel="0" collapsed="false">
      <c r="A347" s="1" t="s">
        <v>17</v>
      </c>
      <c r="B347" s="1" t="s">
        <v>2463</v>
      </c>
      <c r="C347" s="1" t="s">
        <v>19</v>
      </c>
      <c r="D347" s="1" t="s">
        <v>2538</v>
      </c>
      <c r="E347" s="1" t="s">
        <v>2538</v>
      </c>
      <c r="F347" s="1" t="s">
        <v>2539</v>
      </c>
      <c r="G347" s="1" t="s">
        <v>22</v>
      </c>
      <c r="H347" s="1" t="s">
        <v>2540</v>
      </c>
      <c r="I347" s="3" t="b">
        <f aca="false">FALSE()</f>
        <v>0</v>
      </c>
      <c r="J347" s="1" t="s">
        <v>2541</v>
      </c>
      <c r="K347" s="1" t="s">
        <v>137</v>
      </c>
      <c r="L347" s="1" t="s">
        <v>333</v>
      </c>
      <c r="M347" s="1" t="s">
        <v>2542</v>
      </c>
      <c r="N347" s="1" t="s">
        <v>1220</v>
      </c>
      <c r="O347" s="1" t="s">
        <v>895</v>
      </c>
      <c r="P347" s="1" t="s">
        <v>781</v>
      </c>
      <c r="Q347" s="1" t="s">
        <v>2543</v>
      </c>
    </row>
    <row r="348" customFormat="false" ht="12.8" hidden="false" customHeight="false" outlineLevel="0" collapsed="false">
      <c r="A348" s="1" t="s">
        <v>17</v>
      </c>
      <c r="B348" s="1" t="s">
        <v>2463</v>
      </c>
      <c r="C348" s="1" t="s">
        <v>19</v>
      </c>
      <c r="D348" s="1" t="s">
        <v>2544</v>
      </c>
      <c r="E348" s="1" t="s">
        <v>2544</v>
      </c>
      <c r="F348" s="1" t="s">
        <v>2545</v>
      </c>
      <c r="G348" s="1" t="s">
        <v>22</v>
      </c>
      <c r="H348" s="1" t="s">
        <v>2546</v>
      </c>
      <c r="I348" s="3" t="b">
        <f aca="false">FALSE()</f>
        <v>0</v>
      </c>
      <c r="J348" s="1" t="s">
        <v>2547</v>
      </c>
      <c r="K348" s="1" t="s">
        <v>176</v>
      </c>
      <c r="L348" s="1" t="s">
        <v>2548</v>
      </c>
      <c r="M348" s="1" t="s">
        <v>2549</v>
      </c>
      <c r="N348" s="1" t="s">
        <v>2550</v>
      </c>
      <c r="O348" s="1" t="s">
        <v>1786</v>
      </c>
      <c r="P348" s="1" t="s">
        <v>1106</v>
      </c>
      <c r="Q348" s="1" t="s">
        <v>2551</v>
      </c>
    </row>
    <row r="349" customFormat="false" ht="12.8" hidden="false" customHeight="false" outlineLevel="0" collapsed="false">
      <c r="A349" s="1" t="s">
        <v>17</v>
      </c>
      <c r="B349" s="1" t="s">
        <v>2463</v>
      </c>
      <c r="C349" s="1" t="s">
        <v>19</v>
      </c>
      <c r="D349" s="1" t="s">
        <v>2552</v>
      </c>
      <c r="E349" s="1" t="s">
        <v>2552</v>
      </c>
      <c r="F349" s="1" t="s">
        <v>2553</v>
      </c>
      <c r="G349" s="1" t="s">
        <v>22</v>
      </c>
      <c r="H349" s="1" t="s">
        <v>2554</v>
      </c>
      <c r="I349" s="3" t="b">
        <f aca="false">FALSE()</f>
        <v>0</v>
      </c>
      <c r="J349" s="1" t="s">
        <v>2555</v>
      </c>
      <c r="K349" s="1" t="s">
        <v>147</v>
      </c>
      <c r="L349" s="1" t="s">
        <v>414</v>
      </c>
      <c r="M349" s="1" t="s">
        <v>2556</v>
      </c>
      <c r="N349" s="1" t="s">
        <v>641</v>
      </c>
      <c r="O349" s="1" t="s">
        <v>561</v>
      </c>
      <c r="P349" s="1" t="s">
        <v>261</v>
      </c>
      <c r="Q349" s="1" t="s">
        <v>2557</v>
      </c>
    </row>
    <row r="350" customFormat="false" ht="12.8" hidden="false" customHeight="false" outlineLevel="0" collapsed="false">
      <c r="A350" s="1" t="s">
        <v>17</v>
      </c>
      <c r="B350" s="1" t="s">
        <v>2463</v>
      </c>
      <c r="C350" s="1" t="s">
        <v>19</v>
      </c>
      <c r="D350" s="1" t="s">
        <v>2558</v>
      </c>
      <c r="E350" s="1" t="s">
        <v>2558</v>
      </c>
      <c r="F350" s="1" t="s">
        <v>2559</v>
      </c>
      <c r="G350" s="1" t="s">
        <v>22</v>
      </c>
      <c r="H350" s="1" t="s">
        <v>2560</v>
      </c>
      <c r="I350" s="3" t="b">
        <f aca="false">FALSE()</f>
        <v>0</v>
      </c>
      <c r="J350" s="1" t="s">
        <v>2561</v>
      </c>
      <c r="K350" s="1" t="s">
        <v>1283</v>
      </c>
      <c r="L350" s="1" t="s">
        <v>2562</v>
      </c>
      <c r="M350" s="1" t="s">
        <v>2563</v>
      </c>
      <c r="N350" s="1" t="s">
        <v>179</v>
      </c>
      <c r="O350" s="1" t="s">
        <v>108</v>
      </c>
      <c r="P350" s="1" t="s">
        <v>130</v>
      </c>
      <c r="Q350" s="1" t="s">
        <v>2564</v>
      </c>
    </row>
    <row r="351" customFormat="false" ht="12.8" hidden="false" customHeight="false" outlineLevel="0" collapsed="false">
      <c r="A351" s="1" t="s">
        <v>17</v>
      </c>
      <c r="B351" s="1" t="s">
        <v>2463</v>
      </c>
      <c r="C351" s="1" t="s">
        <v>19</v>
      </c>
      <c r="D351" s="1" t="s">
        <v>2565</v>
      </c>
      <c r="E351" s="1" t="s">
        <v>2565</v>
      </c>
      <c r="F351" s="1" t="s">
        <v>2566</v>
      </c>
      <c r="G351" s="1" t="s">
        <v>22</v>
      </c>
      <c r="H351" s="1" t="s">
        <v>2567</v>
      </c>
      <c r="I351" s="3" t="b">
        <f aca="false">FALSE()</f>
        <v>0</v>
      </c>
      <c r="J351" s="1" t="s">
        <v>2568</v>
      </c>
      <c r="K351" s="1" t="s">
        <v>197</v>
      </c>
      <c r="L351" s="1" t="s">
        <v>992</v>
      </c>
      <c r="M351" s="1" t="s">
        <v>2569</v>
      </c>
      <c r="N351" s="1" t="s">
        <v>129</v>
      </c>
      <c r="O351" s="1" t="s">
        <v>42</v>
      </c>
      <c r="P351" s="1" t="s">
        <v>1173</v>
      </c>
      <c r="Q351" s="1" t="s">
        <v>2570</v>
      </c>
    </row>
    <row r="352" customFormat="false" ht="12.8" hidden="false" customHeight="false" outlineLevel="0" collapsed="false">
      <c r="A352" s="1" t="s">
        <v>17</v>
      </c>
      <c r="B352" s="1" t="s">
        <v>2463</v>
      </c>
      <c r="C352" s="1" t="s">
        <v>19</v>
      </c>
      <c r="D352" s="1" t="s">
        <v>2571</v>
      </c>
      <c r="E352" s="1" t="s">
        <v>2571</v>
      </c>
      <c r="F352" s="1" t="s">
        <v>2572</v>
      </c>
      <c r="G352" s="1" t="s">
        <v>22</v>
      </c>
      <c r="H352" s="1" t="s">
        <v>2573</v>
      </c>
      <c r="I352" s="3" t="b">
        <f aca="false">FALSE()</f>
        <v>0</v>
      </c>
      <c r="J352" s="1" t="s">
        <v>2574</v>
      </c>
      <c r="K352" s="1" t="s">
        <v>137</v>
      </c>
      <c r="L352" s="1" t="s">
        <v>333</v>
      </c>
      <c r="M352" s="1" t="s">
        <v>2575</v>
      </c>
      <c r="N352" s="1" t="s">
        <v>1043</v>
      </c>
      <c r="O352" s="1" t="s">
        <v>130</v>
      </c>
      <c r="P352" s="1" t="s">
        <v>131</v>
      </c>
      <c r="Q352" s="1" t="s">
        <v>2576</v>
      </c>
    </row>
    <row r="353" customFormat="false" ht="12.8" hidden="false" customHeight="false" outlineLevel="0" collapsed="false">
      <c r="A353" s="1" t="s">
        <v>17</v>
      </c>
      <c r="B353" s="1" t="s">
        <v>2463</v>
      </c>
      <c r="C353" s="1" t="s">
        <v>19</v>
      </c>
      <c r="D353" s="1" t="s">
        <v>2577</v>
      </c>
      <c r="E353" s="1" t="s">
        <v>2577</v>
      </c>
      <c r="F353" s="1" t="s">
        <v>2578</v>
      </c>
      <c r="G353" s="1" t="s">
        <v>22</v>
      </c>
      <c r="H353" s="1" t="s">
        <v>2579</v>
      </c>
      <c r="I353" s="3" t="b">
        <f aca="false">FALSE()</f>
        <v>0</v>
      </c>
      <c r="J353" s="1" t="s">
        <v>2580</v>
      </c>
      <c r="K353" s="1" t="s">
        <v>239</v>
      </c>
      <c r="L353" s="1" t="s">
        <v>568</v>
      </c>
      <c r="M353" s="1" t="s">
        <v>2581</v>
      </c>
      <c r="N353" s="1" t="s">
        <v>101</v>
      </c>
      <c r="O353" s="1" t="s">
        <v>342</v>
      </c>
      <c r="P353" s="1" t="s">
        <v>261</v>
      </c>
      <c r="Q353" s="1" t="s">
        <v>2582</v>
      </c>
    </row>
    <row r="354" customFormat="false" ht="12.8" hidden="false" customHeight="false" outlineLevel="0" collapsed="false">
      <c r="A354" s="1" t="s">
        <v>17</v>
      </c>
      <c r="B354" s="1" t="s">
        <v>2463</v>
      </c>
      <c r="C354" s="1" t="s">
        <v>19</v>
      </c>
      <c r="D354" s="1" t="s">
        <v>2583</v>
      </c>
      <c r="E354" s="1" t="s">
        <v>2583</v>
      </c>
      <c r="F354" s="1" t="s">
        <v>2584</v>
      </c>
      <c r="G354" s="1" t="s">
        <v>22</v>
      </c>
      <c r="H354" s="1" t="s">
        <v>2585</v>
      </c>
      <c r="I354" s="3" t="b">
        <f aca="false">FALSE()</f>
        <v>0</v>
      </c>
      <c r="J354" s="1" t="s">
        <v>2586</v>
      </c>
      <c r="K354" s="1" t="s">
        <v>147</v>
      </c>
      <c r="L354" s="1" t="s">
        <v>1586</v>
      </c>
      <c r="M354" s="1" t="s">
        <v>2587</v>
      </c>
      <c r="N354" s="1" t="s">
        <v>28</v>
      </c>
      <c r="O354" s="1" t="s">
        <v>242</v>
      </c>
      <c r="P354" s="1" t="s">
        <v>781</v>
      </c>
      <c r="Q354" s="1" t="s">
        <v>2588</v>
      </c>
    </row>
    <row r="355" customFormat="false" ht="12.8" hidden="false" customHeight="false" outlineLevel="0" collapsed="false">
      <c r="A355" s="1" t="s">
        <v>17</v>
      </c>
      <c r="B355" s="1" t="s">
        <v>2463</v>
      </c>
      <c r="C355" s="1" t="s">
        <v>19</v>
      </c>
      <c r="D355" s="1" t="s">
        <v>2589</v>
      </c>
      <c r="E355" s="1" t="s">
        <v>2589</v>
      </c>
      <c r="F355" s="1" t="s">
        <v>2590</v>
      </c>
      <c r="G355" s="1" t="s">
        <v>22</v>
      </c>
      <c r="H355" s="1" t="s">
        <v>2591</v>
      </c>
      <c r="I355" s="3" t="b">
        <f aca="false">FALSE()</f>
        <v>0</v>
      </c>
      <c r="J355" s="1" t="s">
        <v>2592</v>
      </c>
      <c r="K355" s="1" t="s">
        <v>126</v>
      </c>
      <c r="L355" s="1" t="s">
        <v>2593</v>
      </c>
      <c r="M355" s="1" t="s">
        <v>2594</v>
      </c>
      <c r="N355" s="1" t="s">
        <v>1229</v>
      </c>
      <c r="O355" s="1" t="s">
        <v>1359</v>
      </c>
      <c r="P355" s="1" t="s">
        <v>261</v>
      </c>
      <c r="Q355" s="1" t="s">
        <v>2595</v>
      </c>
    </row>
    <row r="356" customFormat="false" ht="12.8" hidden="false" customHeight="false" outlineLevel="0" collapsed="false">
      <c r="A356" s="1" t="s">
        <v>17</v>
      </c>
      <c r="B356" s="1" t="s">
        <v>2463</v>
      </c>
      <c r="C356" s="1" t="s">
        <v>19</v>
      </c>
      <c r="D356" s="1" t="s">
        <v>2596</v>
      </c>
      <c r="E356" s="1" t="s">
        <v>2596</v>
      </c>
      <c r="F356" s="1" t="s">
        <v>2597</v>
      </c>
      <c r="G356" s="1" t="s">
        <v>22</v>
      </c>
      <c r="H356" s="1" t="s">
        <v>2598</v>
      </c>
      <c r="I356" s="3" t="b">
        <f aca="false">FALSE()</f>
        <v>0</v>
      </c>
      <c r="J356" s="1" t="s">
        <v>2599</v>
      </c>
      <c r="K356" s="1" t="s">
        <v>25</v>
      </c>
      <c r="L356" s="1" t="s">
        <v>2600</v>
      </c>
      <c r="M356" s="1" t="s">
        <v>2601</v>
      </c>
      <c r="N356" s="1" t="s">
        <v>2602</v>
      </c>
      <c r="O356" s="1" t="s">
        <v>780</v>
      </c>
      <c r="P356" s="1" t="s">
        <v>1106</v>
      </c>
      <c r="Q356" s="1" t="s">
        <v>2603</v>
      </c>
    </row>
    <row r="357" customFormat="false" ht="12.8" hidden="false" customHeight="false" outlineLevel="0" collapsed="false">
      <c r="A357" s="1" t="s">
        <v>17</v>
      </c>
      <c r="B357" s="1" t="s">
        <v>2463</v>
      </c>
      <c r="C357" s="1" t="s">
        <v>19</v>
      </c>
      <c r="D357" s="1" t="s">
        <v>2604</v>
      </c>
      <c r="E357" s="1" t="s">
        <v>2604</v>
      </c>
      <c r="F357" s="1" t="s">
        <v>2605</v>
      </c>
      <c r="G357" s="1" t="s">
        <v>22</v>
      </c>
      <c r="H357" s="1" t="s">
        <v>2606</v>
      </c>
      <c r="I357" s="3" t="b">
        <f aca="false">FALSE()</f>
        <v>0</v>
      </c>
      <c r="J357" s="1" t="s">
        <v>2607</v>
      </c>
      <c r="K357" s="1" t="s">
        <v>126</v>
      </c>
      <c r="L357" s="1" t="s">
        <v>1098</v>
      </c>
      <c r="M357" s="1" t="s">
        <v>2608</v>
      </c>
      <c r="N357" s="1" t="s">
        <v>351</v>
      </c>
      <c r="O357" s="1" t="s">
        <v>120</v>
      </c>
      <c r="P357" s="1" t="s">
        <v>261</v>
      </c>
      <c r="Q357" s="1" t="s">
        <v>2609</v>
      </c>
    </row>
    <row r="358" customFormat="false" ht="12.8" hidden="false" customHeight="false" outlineLevel="0" collapsed="false">
      <c r="A358" s="1" t="s">
        <v>17</v>
      </c>
      <c r="B358" s="1" t="s">
        <v>2463</v>
      </c>
      <c r="C358" s="1" t="s">
        <v>19</v>
      </c>
      <c r="D358" s="1" t="s">
        <v>2610</v>
      </c>
      <c r="E358" s="1" t="s">
        <v>2610</v>
      </c>
      <c r="F358" s="1" t="s">
        <v>2611</v>
      </c>
      <c r="G358" s="1" t="s">
        <v>22</v>
      </c>
      <c r="H358" s="1" t="s">
        <v>2612</v>
      </c>
      <c r="I358" s="3" t="b">
        <f aca="false">FALSE()</f>
        <v>0</v>
      </c>
      <c r="J358" s="1" t="s">
        <v>2613</v>
      </c>
      <c r="K358" s="1" t="s">
        <v>176</v>
      </c>
      <c r="L358" s="1" t="s">
        <v>1855</v>
      </c>
      <c r="M358" s="1" t="s">
        <v>2614</v>
      </c>
      <c r="N358" s="1" t="s">
        <v>902</v>
      </c>
      <c r="O358" s="1" t="s">
        <v>42</v>
      </c>
      <c r="P358" s="1" t="s">
        <v>252</v>
      </c>
      <c r="Q358" s="1" t="s">
        <v>2615</v>
      </c>
    </row>
    <row r="359" customFormat="false" ht="12.8" hidden="false" customHeight="false" outlineLevel="0" collapsed="false">
      <c r="A359" s="1" t="s">
        <v>17</v>
      </c>
      <c r="B359" s="1" t="s">
        <v>2463</v>
      </c>
      <c r="C359" s="1" t="s">
        <v>19</v>
      </c>
      <c r="D359" s="1" t="s">
        <v>2616</v>
      </c>
      <c r="E359" s="1" t="s">
        <v>2616</v>
      </c>
      <c r="F359" s="1" t="s">
        <v>2617</v>
      </c>
      <c r="G359" s="1" t="s">
        <v>22</v>
      </c>
      <c r="H359" s="1" t="s">
        <v>2618</v>
      </c>
      <c r="I359" s="3" t="b">
        <f aca="false">FALSE()</f>
        <v>0</v>
      </c>
      <c r="J359" s="1" t="s">
        <v>2619</v>
      </c>
      <c r="K359" s="1" t="s">
        <v>126</v>
      </c>
      <c r="L359" s="1" t="s">
        <v>2620</v>
      </c>
      <c r="M359" s="1" t="s">
        <v>2621</v>
      </c>
      <c r="N359" s="1" t="s">
        <v>2622</v>
      </c>
      <c r="O359" s="1" t="s">
        <v>624</v>
      </c>
      <c r="P359" s="1" t="s">
        <v>781</v>
      </c>
      <c r="Q359" s="1" t="s">
        <v>2623</v>
      </c>
    </row>
    <row r="360" customFormat="false" ht="12.8" hidden="false" customHeight="false" outlineLevel="0" collapsed="false">
      <c r="A360" s="1" t="s">
        <v>17</v>
      </c>
      <c r="B360" s="1" t="s">
        <v>2463</v>
      </c>
      <c r="C360" s="1" t="s">
        <v>19</v>
      </c>
      <c r="D360" s="1" t="s">
        <v>2624</v>
      </c>
      <c r="E360" s="1" t="s">
        <v>2624</v>
      </c>
      <c r="F360" s="1" t="s">
        <v>2625</v>
      </c>
      <c r="G360" s="1" t="s">
        <v>22</v>
      </c>
      <c r="H360" s="1" t="s">
        <v>2626</v>
      </c>
      <c r="I360" s="3" t="b">
        <f aca="false">FALSE()</f>
        <v>0</v>
      </c>
      <c r="J360" s="1" t="s">
        <v>2627</v>
      </c>
      <c r="K360" s="1" t="s">
        <v>197</v>
      </c>
      <c r="L360" s="1" t="s">
        <v>1619</v>
      </c>
      <c r="M360" s="1" t="s">
        <v>2628</v>
      </c>
      <c r="N360" s="1" t="s">
        <v>28</v>
      </c>
      <c r="O360" s="1" t="s">
        <v>28</v>
      </c>
      <c r="P360" s="1" t="s">
        <v>1173</v>
      </c>
      <c r="Q360" s="1" t="s">
        <v>2629</v>
      </c>
    </row>
    <row r="361" customFormat="false" ht="12.8" hidden="false" customHeight="false" outlineLevel="0" collapsed="false">
      <c r="A361" s="1" t="s">
        <v>17</v>
      </c>
      <c r="B361" s="1" t="s">
        <v>2463</v>
      </c>
      <c r="C361" s="1" t="s">
        <v>19</v>
      </c>
      <c r="D361" s="1" t="s">
        <v>2630</v>
      </c>
      <c r="E361" s="1" t="s">
        <v>2630</v>
      </c>
      <c r="F361" s="1" t="s">
        <v>2631</v>
      </c>
      <c r="G361" s="1" t="s">
        <v>22</v>
      </c>
      <c r="H361" s="1" t="s">
        <v>2632</v>
      </c>
      <c r="I361" s="3" t="b">
        <f aca="false">FALSE()</f>
        <v>0</v>
      </c>
      <c r="J361" s="1" t="s">
        <v>2633</v>
      </c>
      <c r="K361" s="1" t="s">
        <v>25</v>
      </c>
      <c r="L361" s="1" t="s">
        <v>1227</v>
      </c>
      <c r="M361" s="1" t="s">
        <v>2634</v>
      </c>
      <c r="N361" s="1" t="s">
        <v>101</v>
      </c>
      <c r="O361" s="1" t="s">
        <v>41</v>
      </c>
      <c r="P361" s="1" t="s">
        <v>181</v>
      </c>
      <c r="Q361" s="1" t="s">
        <v>2635</v>
      </c>
    </row>
    <row r="362" customFormat="false" ht="12.8" hidden="false" customHeight="false" outlineLevel="0" collapsed="false">
      <c r="A362" s="1" t="s">
        <v>17</v>
      </c>
      <c r="B362" s="1" t="s">
        <v>2463</v>
      </c>
      <c r="C362" s="1" t="s">
        <v>19</v>
      </c>
      <c r="D362" s="1" t="s">
        <v>2636</v>
      </c>
      <c r="E362" s="1" t="s">
        <v>2636</v>
      </c>
      <c r="F362" s="1" t="s">
        <v>2637</v>
      </c>
      <c r="G362" s="1" t="s">
        <v>22</v>
      </c>
      <c r="H362" s="1" t="s">
        <v>2638</v>
      </c>
      <c r="I362" s="3" t="b">
        <f aca="false">FALSE()</f>
        <v>0</v>
      </c>
      <c r="J362" s="1" t="s">
        <v>2639</v>
      </c>
      <c r="K362" s="1" t="s">
        <v>49</v>
      </c>
      <c r="L362" s="1" t="s">
        <v>1674</v>
      </c>
      <c r="M362" s="1" t="s">
        <v>2640</v>
      </c>
      <c r="N362" s="1" t="s">
        <v>617</v>
      </c>
      <c r="O362" s="1" t="s">
        <v>902</v>
      </c>
      <c r="P362" s="1" t="s">
        <v>252</v>
      </c>
      <c r="Q362" s="1" t="s">
        <v>2641</v>
      </c>
    </row>
    <row r="363" customFormat="false" ht="12.8" hidden="false" customHeight="false" outlineLevel="0" collapsed="false">
      <c r="A363" s="1" t="s">
        <v>17</v>
      </c>
      <c r="B363" s="1" t="s">
        <v>2463</v>
      </c>
      <c r="C363" s="1" t="s">
        <v>19</v>
      </c>
      <c r="D363" s="1" t="s">
        <v>2642</v>
      </c>
      <c r="E363" s="1" t="s">
        <v>2642</v>
      </c>
      <c r="F363" s="1" t="s">
        <v>2643</v>
      </c>
      <c r="G363" s="1" t="s">
        <v>22</v>
      </c>
      <c r="H363" s="1" t="s">
        <v>2644</v>
      </c>
      <c r="I363" s="3" t="b">
        <f aca="false">FALSE()</f>
        <v>0</v>
      </c>
      <c r="J363" s="1" t="s">
        <v>2645</v>
      </c>
      <c r="K363" s="1" t="s">
        <v>137</v>
      </c>
      <c r="L363" s="1" t="s">
        <v>2646</v>
      </c>
      <c r="M363" s="1" t="s">
        <v>2647</v>
      </c>
      <c r="N363" s="1" t="s">
        <v>2648</v>
      </c>
      <c r="O363" s="1" t="s">
        <v>2420</v>
      </c>
      <c r="P363" s="1" t="s">
        <v>261</v>
      </c>
      <c r="Q363" s="1" t="s">
        <v>2649</v>
      </c>
    </row>
    <row r="364" customFormat="false" ht="12.8" hidden="false" customHeight="false" outlineLevel="0" collapsed="false">
      <c r="A364" s="1" t="s">
        <v>17</v>
      </c>
      <c r="B364" s="1" t="s">
        <v>2463</v>
      </c>
      <c r="C364" s="1" t="s">
        <v>19</v>
      </c>
      <c r="D364" s="1" t="s">
        <v>2650</v>
      </c>
      <c r="E364" s="1" t="s">
        <v>2650</v>
      </c>
      <c r="F364" s="1" t="s">
        <v>2651</v>
      </c>
      <c r="G364" s="1" t="s">
        <v>22</v>
      </c>
      <c r="H364" s="1" t="s">
        <v>2652</v>
      </c>
      <c r="I364" s="3" t="b">
        <f aca="false">FALSE()</f>
        <v>0</v>
      </c>
      <c r="J364" s="1" t="s">
        <v>2653</v>
      </c>
      <c r="K364" s="1" t="s">
        <v>137</v>
      </c>
      <c r="L364" s="1" t="s">
        <v>167</v>
      </c>
      <c r="M364" s="1" t="s">
        <v>2654</v>
      </c>
      <c r="N364" s="1" t="s">
        <v>1008</v>
      </c>
      <c r="O364" s="1" t="s">
        <v>895</v>
      </c>
      <c r="P364" s="1" t="s">
        <v>601</v>
      </c>
      <c r="Q364" s="1" t="s">
        <v>2655</v>
      </c>
    </row>
    <row r="365" customFormat="false" ht="12.8" hidden="false" customHeight="false" outlineLevel="0" collapsed="false">
      <c r="A365" s="1" t="s">
        <v>17</v>
      </c>
      <c r="B365" s="1" t="s">
        <v>2463</v>
      </c>
      <c r="C365" s="1" t="s">
        <v>19</v>
      </c>
      <c r="D365" s="1" t="s">
        <v>2656</v>
      </c>
      <c r="E365" s="1" t="s">
        <v>2656</v>
      </c>
      <c r="F365" s="1" t="s">
        <v>2657</v>
      </c>
      <c r="G365" s="1" t="s">
        <v>22</v>
      </c>
      <c r="H365" s="1" t="s">
        <v>2658</v>
      </c>
      <c r="I365" s="3" t="b">
        <f aca="false">FALSE()</f>
        <v>0</v>
      </c>
      <c r="J365" s="1" t="s">
        <v>2659</v>
      </c>
      <c r="K365" s="1" t="s">
        <v>197</v>
      </c>
      <c r="L365" s="1" t="s">
        <v>1171</v>
      </c>
      <c r="M365" s="1" t="s">
        <v>2660</v>
      </c>
      <c r="N365" s="1" t="s">
        <v>342</v>
      </c>
      <c r="O365" s="1" t="s">
        <v>902</v>
      </c>
      <c r="P365" s="1" t="s">
        <v>270</v>
      </c>
      <c r="Q365" s="1" t="s">
        <v>2661</v>
      </c>
    </row>
    <row r="366" customFormat="false" ht="12.8" hidden="false" customHeight="false" outlineLevel="0" collapsed="false">
      <c r="A366" s="1" t="s">
        <v>17</v>
      </c>
      <c r="B366" s="1" t="s">
        <v>2463</v>
      </c>
      <c r="C366" s="1" t="s">
        <v>19</v>
      </c>
      <c r="D366" s="1" t="s">
        <v>2662</v>
      </c>
      <c r="E366" s="1" t="s">
        <v>2662</v>
      </c>
      <c r="F366" s="1" t="s">
        <v>2663</v>
      </c>
      <c r="G366" s="1" t="s">
        <v>22</v>
      </c>
      <c r="H366" s="1" t="s">
        <v>2664</v>
      </c>
      <c r="I366" s="3" t="b">
        <f aca="false">FALSE()</f>
        <v>0</v>
      </c>
      <c r="J366" s="1" t="s">
        <v>2665</v>
      </c>
      <c r="K366" s="1" t="s">
        <v>25</v>
      </c>
      <c r="L366" s="1" t="s">
        <v>2313</v>
      </c>
      <c r="M366" s="1" t="s">
        <v>2666</v>
      </c>
      <c r="N366" s="1" t="s">
        <v>2229</v>
      </c>
      <c r="O366" s="1" t="s">
        <v>443</v>
      </c>
      <c r="P366" s="1" t="s">
        <v>252</v>
      </c>
      <c r="Q366" s="1" t="s">
        <v>2667</v>
      </c>
    </row>
    <row r="367" customFormat="false" ht="12.8" hidden="false" customHeight="false" outlineLevel="0" collapsed="false">
      <c r="A367" s="1" t="s">
        <v>17</v>
      </c>
      <c r="B367" s="1" t="s">
        <v>2463</v>
      </c>
      <c r="C367" s="1" t="s">
        <v>19</v>
      </c>
      <c r="D367" s="1" t="s">
        <v>2668</v>
      </c>
      <c r="E367" s="1" t="s">
        <v>2668</v>
      </c>
      <c r="F367" s="1" t="s">
        <v>2669</v>
      </c>
      <c r="G367" s="1" t="s">
        <v>22</v>
      </c>
      <c r="H367" s="1" t="s">
        <v>2670</v>
      </c>
      <c r="I367" s="3" t="b">
        <f aca="false">FALSE()</f>
        <v>0</v>
      </c>
      <c r="J367" s="1" t="s">
        <v>2671</v>
      </c>
      <c r="K367" s="1" t="s">
        <v>197</v>
      </c>
      <c r="L367" s="1" t="s">
        <v>2672</v>
      </c>
      <c r="M367" s="1" t="s">
        <v>2673</v>
      </c>
      <c r="N367" s="1" t="s">
        <v>2674</v>
      </c>
      <c r="O367" s="1" t="s">
        <v>130</v>
      </c>
      <c r="P367" s="1" t="s">
        <v>1173</v>
      </c>
      <c r="Q367" s="1" t="s">
        <v>2675</v>
      </c>
    </row>
    <row r="368" customFormat="false" ht="12.8" hidden="false" customHeight="false" outlineLevel="0" collapsed="false">
      <c r="A368" s="1" t="s">
        <v>17</v>
      </c>
      <c r="B368" s="1" t="s">
        <v>2463</v>
      </c>
      <c r="C368" s="1" t="s">
        <v>19</v>
      </c>
      <c r="D368" s="1" t="s">
        <v>2676</v>
      </c>
      <c r="E368" s="1" t="s">
        <v>2676</v>
      </c>
      <c r="F368" s="1" t="s">
        <v>2677</v>
      </c>
      <c r="G368" s="1" t="s">
        <v>22</v>
      </c>
      <c r="H368" s="1" t="s">
        <v>2678</v>
      </c>
      <c r="I368" s="3" t="b">
        <f aca="false">FALSE()</f>
        <v>0</v>
      </c>
      <c r="J368" s="1" t="s">
        <v>2679</v>
      </c>
      <c r="K368" s="1" t="s">
        <v>25</v>
      </c>
      <c r="L368" s="1" t="s">
        <v>127</v>
      </c>
      <c r="M368" s="1" t="s">
        <v>2680</v>
      </c>
      <c r="N368" s="1" t="s">
        <v>895</v>
      </c>
      <c r="O368" s="1" t="s">
        <v>63</v>
      </c>
      <c r="P368" s="1" t="s">
        <v>131</v>
      </c>
      <c r="Q368" s="1" t="s">
        <v>2681</v>
      </c>
    </row>
    <row r="369" customFormat="false" ht="12.8" hidden="false" customHeight="false" outlineLevel="0" collapsed="false">
      <c r="A369" s="1" t="s">
        <v>17</v>
      </c>
      <c r="B369" s="1" t="s">
        <v>2463</v>
      </c>
      <c r="C369" s="1" t="s">
        <v>19</v>
      </c>
      <c r="D369" s="1" t="s">
        <v>2682</v>
      </c>
      <c r="E369" s="1" t="s">
        <v>2682</v>
      </c>
      <c r="F369" s="1" t="s">
        <v>2683</v>
      </c>
      <c r="G369" s="1" t="s">
        <v>22</v>
      </c>
      <c r="H369" s="1" t="s">
        <v>2684</v>
      </c>
      <c r="I369" s="3" t="b">
        <f aca="false">FALSE()</f>
        <v>0</v>
      </c>
      <c r="J369" s="1" t="s">
        <v>2685</v>
      </c>
      <c r="K369" s="1" t="s">
        <v>49</v>
      </c>
      <c r="L369" s="1" t="s">
        <v>1227</v>
      </c>
      <c r="M369" s="1" t="s">
        <v>2686</v>
      </c>
      <c r="N369" s="1" t="s">
        <v>2687</v>
      </c>
      <c r="O369" s="1" t="s">
        <v>42</v>
      </c>
      <c r="P369" s="1" t="s">
        <v>252</v>
      </c>
      <c r="Q369" s="1" t="s">
        <v>2688</v>
      </c>
    </row>
    <row r="370" customFormat="false" ht="12.8" hidden="false" customHeight="false" outlineLevel="0" collapsed="false">
      <c r="A370" s="1" t="s">
        <v>17</v>
      </c>
      <c r="B370" s="1" t="s">
        <v>2463</v>
      </c>
      <c r="C370" s="1" t="s">
        <v>19</v>
      </c>
      <c r="D370" s="1" t="s">
        <v>2689</v>
      </c>
      <c r="E370" s="1" t="s">
        <v>2689</v>
      </c>
      <c r="F370" s="1" t="s">
        <v>2690</v>
      </c>
      <c r="G370" s="1" t="s">
        <v>22</v>
      </c>
      <c r="H370" s="1" t="s">
        <v>2691</v>
      </c>
      <c r="I370" s="3" t="b">
        <f aca="false">FALSE()</f>
        <v>0</v>
      </c>
      <c r="J370" s="1" t="s">
        <v>2692</v>
      </c>
      <c r="K370" s="1" t="s">
        <v>137</v>
      </c>
      <c r="L370" s="1" t="s">
        <v>1341</v>
      </c>
      <c r="M370" s="1" t="s">
        <v>2693</v>
      </c>
      <c r="N370" s="1" t="s">
        <v>2694</v>
      </c>
      <c r="O370" s="1" t="s">
        <v>1817</v>
      </c>
      <c r="P370" s="1" t="s">
        <v>270</v>
      </c>
      <c r="Q370" s="1" t="s">
        <v>2695</v>
      </c>
    </row>
    <row r="371" customFormat="false" ht="12.8" hidden="false" customHeight="false" outlineLevel="0" collapsed="false">
      <c r="A371" s="1" t="s">
        <v>17</v>
      </c>
      <c r="B371" s="1" t="s">
        <v>2463</v>
      </c>
      <c r="C371" s="1" t="s">
        <v>19</v>
      </c>
      <c r="D371" s="1" t="s">
        <v>2696</v>
      </c>
      <c r="E371" s="1" t="s">
        <v>2696</v>
      </c>
      <c r="F371" s="1" t="s">
        <v>2697</v>
      </c>
      <c r="G371" s="1" t="s">
        <v>22</v>
      </c>
      <c r="H371" s="1" t="s">
        <v>2698</v>
      </c>
      <c r="I371" s="3" t="b">
        <f aca="false">FALSE()</f>
        <v>0</v>
      </c>
      <c r="J371" s="1" t="s">
        <v>2699</v>
      </c>
      <c r="K371" s="1" t="s">
        <v>25</v>
      </c>
      <c r="L371" s="1" t="s">
        <v>1062</v>
      </c>
      <c r="M371" s="1" t="s">
        <v>2700</v>
      </c>
      <c r="N371" s="1" t="s">
        <v>422</v>
      </c>
      <c r="O371" s="1" t="s">
        <v>269</v>
      </c>
      <c r="P371" s="1" t="s">
        <v>131</v>
      </c>
      <c r="Q371" s="1" t="s">
        <v>2701</v>
      </c>
    </row>
    <row r="372" customFormat="false" ht="12.8" hidden="false" customHeight="false" outlineLevel="0" collapsed="false">
      <c r="A372" s="1" t="s">
        <v>17</v>
      </c>
      <c r="B372" s="1" t="s">
        <v>2463</v>
      </c>
      <c r="C372" s="1" t="s">
        <v>19</v>
      </c>
      <c r="D372" s="1" t="s">
        <v>2702</v>
      </c>
      <c r="E372" s="1" t="s">
        <v>2702</v>
      </c>
      <c r="F372" s="1" t="s">
        <v>2703</v>
      </c>
      <c r="G372" s="1" t="s">
        <v>22</v>
      </c>
      <c r="H372" s="1" t="s">
        <v>2704</v>
      </c>
      <c r="I372" s="3" t="b">
        <f aca="false">FALSE()</f>
        <v>0</v>
      </c>
      <c r="J372" s="1" t="s">
        <v>2705</v>
      </c>
      <c r="K372" s="1" t="s">
        <v>147</v>
      </c>
      <c r="L372" s="1" t="s">
        <v>276</v>
      </c>
      <c r="M372" s="1" t="s">
        <v>2706</v>
      </c>
      <c r="N372" s="1" t="s">
        <v>191</v>
      </c>
      <c r="O372" s="1" t="s">
        <v>1243</v>
      </c>
      <c r="P372" s="1" t="s">
        <v>161</v>
      </c>
      <c r="Q372" s="1" t="s">
        <v>2707</v>
      </c>
    </row>
    <row r="373" customFormat="false" ht="12.8" hidden="false" customHeight="false" outlineLevel="0" collapsed="false">
      <c r="A373" s="1" t="s">
        <v>17</v>
      </c>
      <c r="B373" s="1" t="s">
        <v>2463</v>
      </c>
      <c r="C373" s="1" t="s">
        <v>19</v>
      </c>
      <c r="D373" s="1" t="s">
        <v>2708</v>
      </c>
      <c r="E373" s="1" t="s">
        <v>2708</v>
      </c>
      <c r="F373" s="1" t="s">
        <v>2709</v>
      </c>
      <c r="G373" s="1" t="s">
        <v>22</v>
      </c>
      <c r="H373" s="1" t="s">
        <v>2710</v>
      </c>
      <c r="I373" s="3" t="b">
        <f aca="false">FALSE()</f>
        <v>0</v>
      </c>
      <c r="J373" s="1" t="s">
        <v>2711</v>
      </c>
      <c r="K373" s="1" t="s">
        <v>25</v>
      </c>
      <c r="L373" s="1" t="s">
        <v>1284</v>
      </c>
      <c r="M373" s="1" t="s">
        <v>2712</v>
      </c>
      <c r="N373" s="1" t="s">
        <v>2713</v>
      </c>
      <c r="O373" s="1" t="s">
        <v>42</v>
      </c>
      <c r="P373" s="1" t="s">
        <v>1173</v>
      </c>
      <c r="Q373" s="1" t="s">
        <v>2714</v>
      </c>
    </row>
    <row r="374" customFormat="false" ht="12.8" hidden="false" customHeight="false" outlineLevel="0" collapsed="false">
      <c r="A374" s="1" t="s">
        <v>17</v>
      </c>
      <c r="B374" s="1" t="s">
        <v>2463</v>
      </c>
      <c r="C374" s="1" t="s">
        <v>19</v>
      </c>
      <c r="D374" s="1" t="s">
        <v>2715</v>
      </c>
      <c r="E374" s="1" t="s">
        <v>2715</v>
      </c>
      <c r="F374" s="1" t="s">
        <v>2716</v>
      </c>
      <c r="G374" s="1" t="s">
        <v>22</v>
      </c>
      <c r="H374" s="1" t="s">
        <v>2717</v>
      </c>
      <c r="I374" s="3" t="b">
        <f aca="false">FALSE()</f>
        <v>0</v>
      </c>
      <c r="J374" s="1" t="s">
        <v>2718</v>
      </c>
      <c r="K374" s="1" t="s">
        <v>25</v>
      </c>
      <c r="L374" s="1" t="s">
        <v>127</v>
      </c>
      <c r="M374" s="1" t="s">
        <v>2719</v>
      </c>
      <c r="N374" s="1" t="s">
        <v>895</v>
      </c>
      <c r="O374" s="1" t="s">
        <v>120</v>
      </c>
      <c r="P374" s="1" t="s">
        <v>131</v>
      </c>
      <c r="Q374" s="1" t="s">
        <v>2720</v>
      </c>
    </row>
    <row r="375" customFormat="false" ht="12.8" hidden="false" customHeight="false" outlineLevel="0" collapsed="false">
      <c r="A375" s="1" t="s">
        <v>17</v>
      </c>
      <c r="B375" s="1" t="s">
        <v>2463</v>
      </c>
      <c r="C375" s="1" t="s">
        <v>19</v>
      </c>
      <c r="D375" s="1" t="s">
        <v>2721</v>
      </c>
      <c r="E375" s="1" t="s">
        <v>2721</v>
      </c>
      <c r="F375" s="1" t="s">
        <v>2722</v>
      </c>
      <c r="G375" s="1" t="s">
        <v>22</v>
      </c>
      <c r="H375" s="1" t="s">
        <v>2723</v>
      </c>
      <c r="I375" s="3" t="b">
        <f aca="false">FALSE()</f>
        <v>0</v>
      </c>
      <c r="J375" s="1" t="s">
        <v>2724</v>
      </c>
      <c r="K375" s="1" t="s">
        <v>197</v>
      </c>
      <c r="L375" s="1" t="s">
        <v>177</v>
      </c>
      <c r="M375" s="1" t="s">
        <v>2725</v>
      </c>
      <c r="N375" s="1" t="s">
        <v>151</v>
      </c>
      <c r="O375" s="1" t="s">
        <v>63</v>
      </c>
      <c r="P375" s="1" t="s">
        <v>181</v>
      </c>
      <c r="Q375" s="1" t="s">
        <v>2726</v>
      </c>
    </row>
    <row r="376" customFormat="false" ht="12.8" hidden="false" customHeight="false" outlineLevel="0" collapsed="false">
      <c r="A376" s="1" t="s">
        <v>17</v>
      </c>
      <c r="B376" s="1" t="s">
        <v>2463</v>
      </c>
      <c r="C376" s="1" t="s">
        <v>19</v>
      </c>
      <c r="D376" s="1" t="s">
        <v>2727</v>
      </c>
      <c r="E376" s="1" t="s">
        <v>2727</v>
      </c>
      <c r="F376" s="1" t="s">
        <v>2728</v>
      </c>
      <c r="G376" s="1" t="s">
        <v>22</v>
      </c>
      <c r="H376" s="1" t="s">
        <v>2729</v>
      </c>
      <c r="I376" s="3" t="b">
        <f aca="false">FALSE()</f>
        <v>0</v>
      </c>
      <c r="J376" s="1" t="s">
        <v>2730</v>
      </c>
      <c r="K376" s="1" t="s">
        <v>197</v>
      </c>
      <c r="L376" s="1" t="s">
        <v>177</v>
      </c>
      <c r="M376" s="1" t="s">
        <v>2731</v>
      </c>
      <c r="N376" s="1" t="s">
        <v>243</v>
      </c>
      <c r="O376" s="1" t="s">
        <v>63</v>
      </c>
      <c r="P376" s="1" t="s">
        <v>181</v>
      </c>
      <c r="Q376" s="1" t="s">
        <v>2732</v>
      </c>
    </row>
    <row r="377" customFormat="false" ht="12.8" hidden="false" customHeight="false" outlineLevel="0" collapsed="false">
      <c r="A377" s="1" t="s">
        <v>17</v>
      </c>
      <c r="B377" s="1" t="s">
        <v>2463</v>
      </c>
      <c r="C377" s="1" t="s">
        <v>19</v>
      </c>
      <c r="D377" s="1" t="s">
        <v>2733</v>
      </c>
      <c r="E377" s="1" t="s">
        <v>2733</v>
      </c>
      <c r="F377" s="1" t="s">
        <v>2734</v>
      </c>
      <c r="G377" s="1" t="s">
        <v>22</v>
      </c>
      <c r="H377" s="1" t="s">
        <v>2735</v>
      </c>
      <c r="I377" s="3" t="b">
        <f aca="false">FALSE()</f>
        <v>0</v>
      </c>
      <c r="J377" s="1" t="s">
        <v>2736</v>
      </c>
      <c r="K377" s="1" t="s">
        <v>524</v>
      </c>
      <c r="L377" s="1" t="s">
        <v>2737</v>
      </c>
      <c r="M377" s="1" t="s">
        <v>2738</v>
      </c>
      <c r="N377" s="1" t="s">
        <v>2739</v>
      </c>
      <c r="O377" s="1" t="s">
        <v>369</v>
      </c>
      <c r="P377" s="1" t="s">
        <v>789</v>
      </c>
      <c r="Q377" s="1" t="s">
        <v>2740</v>
      </c>
    </row>
    <row r="378" customFormat="false" ht="12.8" hidden="false" customHeight="false" outlineLevel="0" collapsed="false">
      <c r="A378" s="1" t="s">
        <v>17</v>
      </c>
      <c r="B378" s="1" t="s">
        <v>2463</v>
      </c>
      <c r="C378" s="1" t="s">
        <v>19</v>
      </c>
      <c r="D378" s="1" t="s">
        <v>2741</v>
      </c>
      <c r="E378" s="1" t="s">
        <v>2741</v>
      </c>
      <c r="F378" s="1" t="s">
        <v>2742</v>
      </c>
      <c r="G378" s="1" t="s">
        <v>22</v>
      </c>
      <c r="H378" s="1" t="s">
        <v>2743</v>
      </c>
      <c r="I378" s="3" t="b">
        <f aca="false">FALSE()</f>
        <v>0</v>
      </c>
      <c r="J378" s="1" t="s">
        <v>2744</v>
      </c>
      <c r="K378" s="1" t="s">
        <v>197</v>
      </c>
      <c r="L378" s="1" t="s">
        <v>177</v>
      </c>
      <c r="M378" s="1" t="s">
        <v>2745</v>
      </c>
      <c r="N378" s="1" t="s">
        <v>207</v>
      </c>
      <c r="O378" s="1" t="s">
        <v>278</v>
      </c>
      <c r="P378" s="1" t="s">
        <v>181</v>
      </c>
      <c r="Q378" s="1" t="s">
        <v>2746</v>
      </c>
    </row>
    <row r="379" customFormat="false" ht="12.8" hidden="false" customHeight="false" outlineLevel="0" collapsed="false">
      <c r="A379" s="1" t="s">
        <v>17</v>
      </c>
      <c r="B379" s="1" t="s">
        <v>2463</v>
      </c>
      <c r="C379" s="1" t="s">
        <v>19</v>
      </c>
      <c r="D379" s="1" t="s">
        <v>2747</v>
      </c>
      <c r="E379" s="1" t="s">
        <v>2747</v>
      </c>
      <c r="F379" s="1" t="s">
        <v>2748</v>
      </c>
      <c r="G379" s="1" t="s">
        <v>22</v>
      </c>
      <c r="H379" s="1" t="s">
        <v>2749</v>
      </c>
      <c r="I379" s="3" t="b">
        <f aca="false">FALSE()</f>
        <v>0</v>
      </c>
      <c r="J379" s="1" t="s">
        <v>2750</v>
      </c>
      <c r="K379" s="1" t="s">
        <v>25</v>
      </c>
      <c r="L379" s="1" t="s">
        <v>250</v>
      </c>
      <c r="M379" s="1" t="s">
        <v>2751</v>
      </c>
      <c r="N379" s="1" t="s">
        <v>180</v>
      </c>
      <c r="O379" s="1" t="s">
        <v>2752</v>
      </c>
      <c r="P379" s="1" t="s">
        <v>181</v>
      </c>
      <c r="Q379" s="1" t="s">
        <v>2753</v>
      </c>
    </row>
    <row r="380" customFormat="false" ht="12.8" hidden="false" customHeight="false" outlineLevel="0" collapsed="false">
      <c r="A380" s="1" t="s">
        <v>17</v>
      </c>
      <c r="B380" s="1" t="s">
        <v>2463</v>
      </c>
      <c r="C380" s="1" t="s">
        <v>19</v>
      </c>
      <c r="D380" s="1" t="s">
        <v>2754</v>
      </c>
      <c r="E380" s="1" t="s">
        <v>2754</v>
      </c>
      <c r="F380" s="1" t="s">
        <v>2755</v>
      </c>
      <c r="G380" s="1" t="s">
        <v>22</v>
      </c>
      <c r="H380" s="1" t="s">
        <v>2756</v>
      </c>
      <c r="I380" s="3" t="b">
        <f aca="false">FALSE()</f>
        <v>0</v>
      </c>
      <c r="J380" s="1" t="s">
        <v>2757</v>
      </c>
      <c r="K380" s="1" t="s">
        <v>147</v>
      </c>
      <c r="L380" s="1" t="s">
        <v>1310</v>
      </c>
      <c r="M380" s="1" t="s">
        <v>2758</v>
      </c>
      <c r="N380" s="1" t="s">
        <v>129</v>
      </c>
      <c r="O380" s="1" t="s">
        <v>1328</v>
      </c>
      <c r="P380" s="1" t="s">
        <v>181</v>
      </c>
      <c r="Q380" s="1" t="s">
        <v>2759</v>
      </c>
    </row>
    <row r="381" customFormat="false" ht="12.8" hidden="false" customHeight="false" outlineLevel="0" collapsed="false">
      <c r="A381" s="1" t="s">
        <v>17</v>
      </c>
      <c r="B381" s="1" t="s">
        <v>2463</v>
      </c>
      <c r="C381" s="1" t="s">
        <v>19</v>
      </c>
      <c r="D381" s="1" t="s">
        <v>2760</v>
      </c>
      <c r="E381" s="1" t="s">
        <v>2760</v>
      </c>
      <c r="F381" s="1" t="s">
        <v>2761</v>
      </c>
      <c r="G381" s="1" t="s">
        <v>22</v>
      </c>
      <c r="H381" s="1" t="s">
        <v>2762</v>
      </c>
      <c r="I381" s="3" t="b">
        <f aca="false">FALSE()</f>
        <v>0</v>
      </c>
      <c r="J381" s="1" t="s">
        <v>2763</v>
      </c>
      <c r="K381" s="1" t="s">
        <v>137</v>
      </c>
      <c r="L381" s="1" t="s">
        <v>983</v>
      </c>
      <c r="M381" s="1" t="s">
        <v>2764</v>
      </c>
      <c r="N381" s="1" t="s">
        <v>101</v>
      </c>
      <c r="O381" s="1" t="s">
        <v>242</v>
      </c>
      <c r="P381" s="1" t="s">
        <v>131</v>
      </c>
      <c r="Q381" s="1" t="s">
        <v>2765</v>
      </c>
    </row>
    <row r="382" customFormat="false" ht="12.8" hidden="false" customHeight="false" outlineLevel="0" collapsed="false">
      <c r="A382" s="1" t="s">
        <v>17</v>
      </c>
      <c r="B382" s="1" t="s">
        <v>2463</v>
      </c>
      <c r="C382" s="1" t="s">
        <v>19</v>
      </c>
      <c r="D382" s="1" t="s">
        <v>2766</v>
      </c>
      <c r="E382" s="1" t="s">
        <v>2766</v>
      </c>
      <c r="F382" s="1" t="s">
        <v>2767</v>
      </c>
      <c r="G382" s="1" t="s">
        <v>35</v>
      </c>
      <c r="H382" s="1" t="s">
        <v>2768</v>
      </c>
      <c r="I382" s="3" t="b">
        <f aca="false">FALSE()</f>
        <v>0</v>
      </c>
      <c r="J382" s="1" t="s">
        <v>2769</v>
      </c>
      <c r="K382" s="1" t="s">
        <v>60</v>
      </c>
      <c r="L382" s="1" t="s">
        <v>648</v>
      </c>
      <c r="M382" s="1" t="s">
        <v>2770</v>
      </c>
      <c r="N382" s="1" t="s">
        <v>1229</v>
      </c>
      <c r="O382" s="1" t="s">
        <v>2771</v>
      </c>
      <c r="P382" s="1" t="s">
        <v>43</v>
      </c>
      <c r="Q382" s="1" t="s">
        <v>2772</v>
      </c>
    </row>
    <row r="383" customFormat="false" ht="12.8" hidden="false" customHeight="false" outlineLevel="0" collapsed="false">
      <c r="A383" s="1" t="s">
        <v>17</v>
      </c>
      <c r="B383" s="1" t="s">
        <v>2463</v>
      </c>
      <c r="C383" s="1" t="s">
        <v>19</v>
      </c>
      <c r="D383" s="1" t="s">
        <v>2773</v>
      </c>
      <c r="E383" s="1" t="s">
        <v>2773</v>
      </c>
      <c r="F383" s="1" t="s">
        <v>2774</v>
      </c>
      <c r="G383" s="1" t="s">
        <v>22</v>
      </c>
      <c r="H383" s="1" t="s">
        <v>2775</v>
      </c>
      <c r="I383" s="3" t="b">
        <f aca="false">FALSE()</f>
        <v>0</v>
      </c>
      <c r="J383" s="1" t="s">
        <v>2776</v>
      </c>
      <c r="K383" s="1" t="s">
        <v>147</v>
      </c>
      <c r="L383" s="1" t="s">
        <v>915</v>
      </c>
      <c r="M383" s="1" t="s">
        <v>2777</v>
      </c>
      <c r="N383" s="1" t="s">
        <v>242</v>
      </c>
      <c r="O383" s="1" t="s">
        <v>902</v>
      </c>
      <c r="P383" s="1" t="s">
        <v>30</v>
      </c>
      <c r="Q383" s="1" t="s">
        <v>2778</v>
      </c>
    </row>
    <row r="384" customFormat="false" ht="12.8" hidden="false" customHeight="false" outlineLevel="0" collapsed="false">
      <c r="A384" s="1" t="s">
        <v>17</v>
      </c>
      <c r="B384" s="1" t="s">
        <v>2463</v>
      </c>
      <c r="C384" s="1" t="s">
        <v>19</v>
      </c>
      <c r="D384" s="1" t="s">
        <v>2779</v>
      </c>
      <c r="E384" s="1" t="s">
        <v>2779</v>
      </c>
      <c r="F384" s="1" t="s">
        <v>2780</v>
      </c>
      <c r="G384" s="1" t="s">
        <v>22</v>
      </c>
      <c r="H384" s="1" t="s">
        <v>2781</v>
      </c>
      <c r="I384" s="3" t="b">
        <f aca="false">FALSE()</f>
        <v>0</v>
      </c>
      <c r="J384" s="1" t="s">
        <v>2782</v>
      </c>
      <c r="K384" s="1" t="s">
        <v>126</v>
      </c>
      <c r="L384" s="1" t="s">
        <v>158</v>
      </c>
      <c r="M384" s="1" t="s">
        <v>2783</v>
      </c>
      <c r="N384" s="1" t="s">
        <v>2449</v>
      </c>
      <c r="O384" s="1" t="s">
        <v>351</v>
      </c>
      <c r="P384" s="1" t="s">
        <v>233</v>
      </c>
      <c r="Q384" s="1" t="s">
        <v>2784</v>
      </c>
    </row>
    <row r="385" customFormat="false" ht="12.8" hidden="false" customHeight="false" outlineLevel="0" collapsed="false">
      <c r="A385" s="1" t="s">
        <v>17</v>
      </c>
      <c r="B385" s="1" t="s">
        <v>2463</v>
      </c>
      <c r="C385" s="1" t="s">
        <v>19</v>
      </c>
      <c r="D385" s="1" t="s">
        <v>2785</v>
      </c>
      <c r="E385" s="1" t="s">
        <v>2785</v>
      </c>
      <c r="F385" s="1" t="s">
        <v>2786</v>
      </c>
      <c r="G385" s="1" t="s">
        <v>22</v>
      </c>
      <c r="H385" s="1" t="s">
        <v>2787</v>
      </c>
      <c r="I385" s="3" t="b">
        <f aca="false">FALSE()</f>
        <v>0</v>
      </c>
      <c r="J385" s="1" t="s">
        <v>2788</v>
      </c>
      <c r="K385" s="1" t="s">
        <v>197</v>
      </c>
      <c r="L385" s="1" t="s">
        <v>892</v>
      </c>
      <c r="M385" s="1" t="s">
        <v>2789</v>
      </c>
      <c r="N385" s="1" t="s">
        <v>902</v>
      </c>
      <c r="O385" s="1" t="s">
        <v>63</v>
      </c>
      <c r="P385" s="1" t="s">
        <v>181</v>
      </c>
      <c r="Q385" s="1" t="s">
        <v>2790</v>
      </c>
    </row>
    <row r="386" customFormat="false" ht="12.8" hidden="false" customHeight="false" outlineLevel="0" collapsed="false">
      <c r="A386" s="1" t="s">
        <v>17</v>
      </c>
      <c r="B386" s="1" t="s">
        <v>2463</v>
      </c>
      <c r="C386" s="1" t="s">
        <v>19</v>
      </c>
      <c r="D386" s="1" t="s">
        <v>2791</v>
      </c>
      <c r="E386" s="1" t="s">
        <v>2791</v>
      </c>
      <c r="F386" s="1" t="s">
        <v>2792</v>
      </c>
      <c r="G386" s="1" t="s">
        <v>22</v>
      </c>
      <c r="H386" s="1" t="s">
        <v>2793</v>
      </c>
      <c r="I386" s="3" t="b">
        <f aca="false">FALSE()</f>
        <v>0</v>
      </c>
      <c r="J386" s="1" t="s">
        <v>2794</v>
      </c>
      <c r="K386" s="1" t="s">
        <v>239</v>
      </c>
      <c r="L386" s="1" t="s">
        <v>1098</v>
      </c>
      <c r="M386" s="1" t="s">
        <v>2795</v>
      </c>
      <c r="N386" s="1" t="s">
        <v>2796</v>
      </c>
      <c r="O386" s="1" t="s">
        <v>2797</v>
      </c>
      <c r="P386" s="1" t="s">
        <v>261</v>
      </c>
      <c r="Q386" s="1" t="s">
        <v>2798</v>
      </c>
    </row>
    <row r="387" customFormat="false" ht="12.8" hidden="false" customHeight="false" outlineLevel="0" collapsed="false">
      <c r="A387" s="1" t="s">
        <v>17</v>
      </c>
      <c r="B387" s="1" t="s">
        <v>2463</v>
      </c>
      <c r="C387" s="1" t="s">
        <v>19</v>
      </c>
      <c r="D387" s="1" t="s">
        <v>2799</v>
      </c>
      <c r="E387" s="1" t="s">
        <v>2799</v>
      </c>
      <c r="F387" s="1" t="s">
        <v>2800</v>
      </c>
      <c r="G387" s="1" t="s">
        <v>22</v>
      </c>
      <c r="H387" s="1" t="s">
        <v>2801</v>
      </c>
      <c r="I387" s="3" t="b">
        <f aca="false">FALSE()</f>
        <v>0</v>
      </c>
      <c r="J387" s="1" t="s">
        <v>2802</v>
      </c>
      <c r="K387" s="1" t="s">
        <v>25</v>
      </c>
      <c r="L387" s="1" t="s">
        <v>1041</v>
      </c>
      <c r="M387" s="1" t="s">
        <v>2803</v>
      </c>
      <c r="N387" s="1" t="s">
        <v>2804</v>
      </c>
      <c r="O387" s="1" t="s">
        <v>570</v>
      </c>
      <c r="P387" s="1" t="s">
        <v>772</v>
      </c>
      <c r="Q387" s="1" t="s">
        <v>2805</v>
      </c>
    </row>
    <row r="388" customFormat="false" ht="12.8" hidden="false" customHeight="false" outlineLevel="0" collapsed="false">
      <c r="A388" s="1" t="s">
        <v>17</v>
      </c>
      <c r="B388" s="1" t="s">
        <v>2463</v>
      </c>
      <c r="C388" s="1" t="s">
        <v>19</v>
      </c>
      <c r="D388" s="1" t="s">
        <v>2806</v>
      </c>
      <c r="E388" s="1" t="s">
        <v>2806</v>
      </c>
      <c r="F388" s="1" t="s">
        <v>2807</v>
      </c>
      <c r="G388" s="1" t="s">
        <v>22</v>
      </c>
      <c r="H388" s="1" t="s">
        <v>2808</v>
      </c>
      <c r="I388" s="3" t="b">
        <f aca="false">FALSE()</f>
        <v>0</v>
      </c>
      <c r="J388" s="1" t="s">
        <v>2809</v>
      </c>
      <c r="K388" s="1" t="s">
        <v>147</v>
      </c>
      <c r="L388" s="1" t="s">
        <v>333</v>
      </c>
      <c r="M388" s="1" t="s">
        <v>2810</v>
      </c>
      <c r="N388" s="1" t="s">
        <v>839</v>
      </c>
      <c r="O388" s="1" t="s">
        <v>895</v>
      </c>
      <c r="P388" s="1" t="s">
        <v>781</v>
      </c>
      <c r="Q388" s="1" t="s">
        <v>2811</v>
      </c>
    </row>
    <row r="389" customFormat="false" ht="12.8" hidden="false" customHeight="false" outlineLevel="0" collapsed="false">
      <c r="A389" s="1" t="s">
        <v>17</v>
      </c>
      <c r="B389" s="1" t="s">
        <v>2463</v>
      </c>
      <c r="C389" s="1" t="s">
        <v>19</v>
      </c>
      <c r="D389" s="1" t="s">
        <v>2812</v>
      </c>
      <c r="E389" s="1" t="s">
        <v>2812</v>
      </c>
      <c r="F389" s="1" t="s">
        <v>2813</v>
      </c>
      <c r="G389" s="1" t="s">
        <v>22</v>
      </c>
      <c r="H389" s="1" t="s">
        <v>2814</v>
      </c>
      <c r="I389" s="3" t="b">
        <f aca="false">FALSE()</f>
        <v>0</v>
      </c>
      <c r="J389" s="1" t="s">
        <v>2815</v>
      </c>
      <c r="K389" s="1" t="s">
        <v>49</v>
      </c>
      <c r="L389" s="1" t="s">
        <v>1276</v>
      </c>
      <c r="M389" s="1" t="s">
        <v>2816</v>
      </c>
      <c r="N389" s="1" t="s">
        <v>570</v>
      </c>
      <c r="O389" s="1" t="s">
        <v>63</v>
      </c>
      <c r="P389" s="1" t="s">
        <v>252</v>
      </c>
      <c r="Q389" s="1" t="s">
        <v>2817</v>
      </c>
    </row>
    <row r="390" customFormat="false" ht="12.8" hidden="false" customHeight="false" outlineLevel="0" collapsed="false">
      <c r="A390" s="1" t="s">
        <v>17</v>
      </c>
      <c r="B390" s="1" t="s">
        <v>2463</v>
      </c>
      <c r="C390" s="1" t="s">
        <v>19</v>
      </c>
      <c r="D390" s="1" t="s">
        <v>2818</v>
      </c>
      <c r="E390" s="1" t="s">
        <v>2818</v>
      </c>
      <c r="F390" s="1" t="s">
        <v>2819</v>
      </c>
      <c r="G390" s="1" t="s">
        <v>22</v>
      </c>
      <c r="H390" s="1" t="s">
        <v>2820</v>
      </c>
      <c r="I390" s="3" t="b">
        <f aca="false">FALSE()</f>
        <v>0</v>
      </c>
      <c r="J390" s="1" t="s">
        <v>2821</v>
      </c>
      <c r="K390" s="1" t="s">
        <v>49</v>
      </c>
      <c r="L390" s="1" t="s">
        <v>2822</v>
      </c>
      <c r="M390" s="1" t="s">
        <v>2823</v>
      </c>
      <c r="N390" s="1" t="s">
        <v>101</v>
      </c>
      <c r="O390" s="1" t="s">
        <v>242</v>
      </c>
      <c r="P390" s="1" t="s">
        <v>252</v>
      </c>
      <c r="Q390" s="1" t="s">
        <v>2824</v>
      </c>
    </row>
    <row r="391" customFormat="false" ht="12.8" hidden="false" customHeight="false" outlineLevel="0" collapsed="false">
      <c r="A391" s="1" t="s">
        <v>17</v>
      </c>
      <c r="B391" s="1" t="s">
        <v>2463</v>
      </c>
      <c r="C391" s="1" t="s">
        <v>19</v>
      </c>
      <c r="D391" s="1" t="s">
        <v>2825</v>
      </c>
      <c r="E391" s="1" t="s">
        <v>2825</v>
      </c>
      <c r="F391" s="1" t="s">
        <v>2826</v>
      </c>
      <c r="G391" s="1" t="s">
        <v>22</v>
      </c>
      <c r="H391" s="1" t="s">
        <v>2827</v>
      </c>
      <c r="I391" s="3" t="b">
        <f aca="false">FALSE()</f>
        <v>0</v>
      </c>
      <c r="J391" s="1" t="s">
        <v>2828</v>
      </c>
      <c r="K391" s="1" t="s">
        <v>126</v>
      </c>
      <c r="L391" s="1" t="s">
        <v>167</v>
      </c>
      <c r="M391" s="1" t="s">
        <v>2829</v>
      </c>
      <c r="N391" s="1" t="s">
        <v>179</v>
      </c>
      <c r="O391" s="1" t="s">
        <v>895</v>
      </c>
      <c r="P391" s="1" t="s">
        <v>601</v>
      </c>
      <c r="Q391" s="1" t="s">
        <v>2830</v>
      </c>
    </row>
    <row r="392" customFormat="false" ht="12.8" hidden="false" customHeight="false" outlineLevel="0" collapsed="false">
      <c r="A392" s="1" t="s">
        <v>17</v>
      </c>
      <c r="B392" s="1" t="s">
        <v>2463</v>
      </c>
      <c r="C392" s="1" t="s">
        <v>19</v>
      </c>
      <c r="D392" s="1" t="s">
        <v>2831</v>
      </c>
      <c r="E392" s="1" t="s">
        <v>2831</v>
      </c>
      <c r="F392" s="1" t="s">
        <v>2832</v>
      </c>
      <c r="G392" s="1" t="s">
        <v>22</v>
      </c>
      <c r="H392" s="1" t="s">
        <v>2833</v>
      </c>
      <c r="I392" s="3" t="b">
        <f aca="false">FALSE()</f>
        <v>0</v>
      </c>
      <c r="J392" s="1" t="s">
        <v>2834</v>
      </c>
      <c r="K392" s="1" t="s">
        <v>147</v>
      </c>
      <c r="L392" s="1" t="s">
        <v>846</v>
      </c>
      <c r="M392" s="1" t="s">
        <v>2835</v>
      </c>
      <c r="N392" s="1" t="s">
        <v>1043</v>
      </c>
      <c r="O392" s="1" t="s">
        <v>895</v>
      </c>
      <c r="P392" s="1" t="s">
        <v>601</v>
      </c>
      <c r="Q392" s="1" t="s">
        <v>2836</v>
      </c>
    </row>
    <row r="393" customFormat="false" ht="12.8" hidden="false" customHeight="false" outlineLevel="0" collapsed="false">
      <c r="A393" s="1" t="s">
        <v>17</v>
      </c>
      <c r="B393" s="1" t="s">
        <v>2463</v>
      </c>
      <c r="C393" s="1" t="s">
        <v>19</v>
      </c>
      <c r="D393" s="1" t="s">
        <v>2837</v>
      </c>
      <c r="E393" s="1" t="s">
        <v>2837</v>
      </c>
      <c r="F393" s="1" t="s">
        <v>2838</v>
      </c>
      <c r="G393" s="1" t="s">
        <v>22</v>
      </c>
      <c r="H393" s="1" t="s">
        <v>2839</v>
      </c>
      <c r="I393" s="3" t="b">
        <f aca="false">FALSE()</f>
        <v>0</v>
      </c>
      <c r="J393" s="1" t="s">
        <v>2840</v>
      </c>
      <c r="K393" s="1" t="s">
        <v>25</v>
      </c>
      <c r="L393" s="1" t="s">
        <v>1098</v>
      </c>
      <c r="M393" s="1" t="s">
        <v>2841</v>
      </c>
      <c r="N393" s="1" t="s">
        <v>570</v>
      </c>
      <c r="O393" s="1" t="s">
        <v>617</v>
      </c>
      <c r="P393" s="1" t="s">
        <v>601</v>
      </c>
      <c r="Q393" s="1" t="s">
        <v>2842</v>
      </c>
    </row>
    <row r="394" customFormat="false" ht="12.8" hidden="false" customHeight="false" outlineLevel="0" collapsed="false">
      <c r="A394" s="1" t="s">
        <v>17</v>
      </c>
      <c r="B394" s="1" t="s">
        <v>2463</v>
      </c>
      <c r="C394" s="1" t="s">
        <v>19</v>
      </c>
      <c r="D394" s="1" t="s">
        <v>2843</v>
      </c>
      <c r="E394" s="1" t="s">
        <v>2843</v>
      </c>
      <c r="F394" s="1" t="s">
        <v>2844</v>
      </c>
      <c r="G394" s="1" t="s">
        <v>22</v>
      </c>
      <c r="H394" s="1" t="s">
        <v>2845</v>
      </c>
      <c r="I394" s="3" t="b">
        <f aca="false">FALSE()</f>
        <v>0</v>
      </c>
      <c r="J394" s="1" t="s">
        <v>2846</v>
      </c>
      <c r="K394" s="1" t="s">
        <v>147</v>
      </c>
      <c r="L394" s="1" t="s">
        <v>2847</v>
      </c>
      <c r="M394" s="1" t="s">
        <v>2848</v>
      </c>
      <c r="N394" s="1" t="s">
        <v>101</v>
      </c>
      <c r="O394" s="1" t="s">
        <v>617</v>
      </c>
      <c r="P394" s="1" t="s">
        <v>261</v>
      </c>
      <c r="Q394" s="1" t="s">
        <v>2849</v>
      </c>
    </row>
    <row r="395" customFormat="false" ht="12.8" hidden="false" customHeight="false" outlineLevel="0" collapsed="false">
      <c r="A395" s="1" t="s">
        <v>17</v>
      </c>
      <c r="B395" s="1" t="s">
        <v>2463</v>
      </c>
      <c r="C395" s="1" t="s">
        <v>19</v>
      </c>
      <c r="D395" s="1" t="s">
        <v>2850</v>
      </c>
      <c r="E395" s="1" t="s">
        <v>2850</v>
      </c>
      <c r="F395" s="1" t="s">
        <v>2851</v>
      </c>
      <c r="G395" s="1" t="s">
        <v>22</v>
      </c>
      <c r="H395" s="1" t="s">
        <v>2852</v>
      </c>
      <c r="I395" s="3" t="b">
        <f aca="false">FALSE()</f>
        <v>0</v>
      </c>
      <c r="J395" s="1" t="s">
        <v>2853</v>
      </c>
      <c r="K395" s="1" t="s">
        <v>2854</v>
      </c>
      <c r="L395" s="1" t="s">
        <v>1034</v>
      </c>
      <c r="M395" s="1" t="s">
        <v>2855</v>
      </c>
      <c r="N395" s="1" t="s">
        <v>42</v>
      </c>
      <c r="O395" s="1" t="s">
        <v>120</v>
      </c>
      <c r="P395" s="1" t="s">
        <v>181</v>
      </c>
      <c r="Q395" s="1" t="s">
        <v>2856</v>
      </c>
    </row>
    <row r="396" customFormat="false" ht="12.8" hidden="false" customHeight="false" outlineLevel="0" collapsed="false">
      <c r="A396" s="1" t="s">
        <v>17</v>
      </c>
      <c r="B396" s="1" t="s">
        <v>2463</v>
      </c>
      <c r="C396" s="1" t="s">
        <v>19</v>
      </c>
      <c r="D396" s="1" t="s">
        <v>2857</v>
      </c>
      <c r="E396" s="1" t="s">
        <v>2857</v>
      </c>
      <c r="F396" s="1" t="s">
        <v>2858</v>
      </c>
      <c r="G396" s="1" t="s">
        <v>22</v>
      </c>
      <c r="H396" s="1" t="s">
        <v>2859</v>
      </c>
      <c r="I396" s="3" t="b">
        <f aca="false">FALSE()</f>
        <v>0</v>
      </c>
      <c r="J396" s="1" t="s">
        <v>2860</v>
      </c>
      <c r="K396" s="1" t="s">
        <v>147</v>
      </c>
      <c r="L396" s="1" t="s">
        <v>1210</v>
      </c>
      <c r="M396" s="1" t="s">
        <v>2861</v>
      </c>
      <c r="N396" s="1" t="s">
        <v>2862</v>
      </c>
      <c r="O396" s="1" t="s">
        <v>2863</v>
      </c>
      <c r="P396" s="1" t="s">
        <v>761</v>
      </c>
      <c r="Q396" s="1" t="s">
        <v>2864</v>
      </c>
    </row>
    <row r="397" customFormat="false" ht="12.8" hidden="false" customHeight="false" outlineLevel="0" collapsed="false">
      <c r="A397" s="1" t="s">
        <v>17</v>
      </c>
      <c r="B397" s="1" t="s">
        <v>2463</v>
      </c>
      <c r="C397" s="1" t="s">
        <v>19</v>
      </c>
      <c r="D397" s="1" t="s">
        <v>2865</v>
      </c>
      <c r="E397" s="1" t="s">
        <v>2865</v>
      </c>
      <c r="F397" s="1" t="s">
        <v>2866</v>
      </c>
      <c r="G397" s="1" t="s">
        <v>22</v>
      </c>
      <c r="H397" s="1" t="s">
        <v>2867</v>
      </c>
      <c r="I397" s="3" t="b">
        <f aca="false">FALSE()</f>
        <v>0</v>
      </c>
      <c r="J397" s="1" t="s">
        <v>2868</v>
      </c>
      <c r="K397" s="1" t="s">
        <v>49</v>
      </c>
      <c r="L397" s="1" t="s">
        <v>1112</v>
      </c>
      <c r="M397" s="1" t="s">
        <v>2869</v>
      </c>
      <c r="N397" s="1" t="s">
        <v>2870</v>
      </c>
      <c r="O397" s="1" t="s">
        <v>492</v>
      </c>
      <c r="P397" s="1" t="s">
        <v>252</v>
      </c>
      <c r="Q397" s="1" t="s">
        <v>2871</v>
      </c>
    </row>
    <row r="398" customFormat="false" ht="12.8" hidden="false" customHeight="false" outlineLevel="0" collapsed="false">
      <c r="A398" s="1" t="s">
        <v>17</v>
      </c>
      <c r="B398" s="1" t="s">
        <v>2463</v>
      </c>
      <c r="C398" s="1" t="s">
        <v>19</v>
      </c>
      <c r="D398" s="1" t="s">
        <v>2872</v>
      </c>
      <c r="E398" s="1" t="s">
        <v>2872</v>
      </c>
      <c r="F398" s="1" t="s">
        <v>2873</v>
      </c>
      <c r="G398" s="1" t="s">
        <v>22</v>
      </c>
      <c r="H398" s="1" t="s">
        <v>2874</v>
      </c>
      <c r="I398" s="3" t="b">
        <f aca="false">FALSE()</f>
        <v>0</v>
      </c>
      <c r="J398" s="1" t="s">
        <v>2875</v>
      </c>
      <c r="K398" s="1" t="s">
        <v>197</v>
      </c>
      <c r="L398" s="1" t="s">
        <v>2876</v>
      </c>
      <c r="M398" s="1" t="s">
        <v>2877</v>
      </c>
      <c r="N398" s="1" t="s">
        <v>561</v>
      </c>
      <c r="O398" s="1" t="s">
        <v>368</v>
      </c>
      <c r="P398" s="1" t="s">
        <v>181</v>
      </c>
      <c r="Q398" s="1" t="s">
        <v>2878</v>
      </c>
    </row>
    <row r="399" customFormat="false" ht="12.8" hidden="false" customHeight="false" outlineLevel="0" collapsed="false">
      <c r="A399" s="1" t="s">
        <v>17</v>
      </c>
      <c r="B399" s="1" t="s">
        <v>2463</v>
      </c>
      <c r="C399" s="1" t="s">
        <v>19</v>
      </c>
      <c r="D399" s="1" t="s">
        <v>2879</v>
      </c>
      <c r="E399" s="1" t="s">
        <v>2879</v>
      </c>
      <c r="F399" s="1" t="s">
        <v>2880</v>
      </c>
      <c r="G399" s="1" t="s">
        <v>22</v>
      </c>
      <c r="H399" s="1" t="s">
        <v>2881</v>
      </c>
      <c r="I399" s="3" t="b">
        <f aca="false">FALSE()</f>
        <v>0</v>
      </c>
      <c r="J399" s="1" t="s">
        <v>2882</v>
      </c>
      <c r="K399" s="1" t="s">
        <v>25</v>
      </c>
      <c r="L399" s="1" t="s">
        <v>915</v>
      </c>
      <c r="M399" s="1" t="s">
        <v>2883</v>
      </c>
      <c r="N399" s="1" t="s">
        <v>41</v>
      </c>
      <c r="O399" s="1" t="s">
        <v>902</v>
      </c>
      <c r="P399" s="1" t="s">
        <v>985</v>
      </c>
      <c r="Q399" s="1" t="s">
        <v>2884</v>
      </c>
    </row>
    <row r="400" customFormat="false" ht="12.8" hidden="false" customHeight="false" outlineLevel="0" collapsed="false">
      <c r="A400" s="1" t="s">
        <v>17</v>
      </c>
      <c r="B400" s="1" t="s">
        <v>2463</v>
      </c>
      <c r="C400" s="1" t="s">
        <v>19</v>
      </c>
      <c r="D400" s="1" t="s">
        <v>2885</v>
      </c>
      <c r="E400" s="1" t="s">
        <v>2885</v>
      </c>
      <c r="F400" s="1" t="s">
        <v>2886</v>
      </c>
      <c r="G400" s="1" t="s">
        <v>22</v>
      </c>
      <c r="H400" s="1" t="s">
        <v>2887</v>
      </c>
      <c r="I400" s="3" t="b">
        <f aca="false">FALSE()</f>
        <v>0</v>
      </c>
      <c r="J400" s="1" t="s">
        <v>2888</v>
      </c>
      <c r="K400" s="1" t="s">
        <v>197</v>
      </c>
      <c r="L400" s="1" t="s">
        <v>1142</v>
      </c>
      <c r="M400" s="1" t="s">
        <v>2889</v>
      </c>
      <c r="N400" s="1" t="s">
        <v>341</v>
      </c>
      <c r="O400" s="1" t="s">
        <v>42</v>
      </c>
      <c r="P400" s="1" t="s">
        <v>384</v>
      </c>
      <c r="Q400" s="1" t="s">
        <v>2890</v>
      </c>
    </row>
    <row r="401" customFormat="false" ht="12.8" hidden="false" customHeight="false" outlineLevel="0" collapsed="false">
      <c r="A401" s="1" t="s">
        <v>17</v>
      </c>
      <c r="B401" s="1" t="s">
        <v>2463</v>
      </c>
      <c r="C401" s="1" t="s">
        <v>19</v>
      </c>
      <c r="D401" s="1" t="s">
        <v>2891</v>
      </c>
      <c r="E401" s="1" t="s">
        <v>2891</v>
      </c>
      <c r="F401" s="1" t="s">
        <v>2892</v>
      </c>
      <c r="G401" s="1" t="s">
        <v>22</v>
      </c>
      <c r="H401" s="1" t="s">
        <v>2893</v>
      </c>
      <c r="I401" s="3" t="b">
        <f aca="false">FALSE()</f>
        <v>0</v>
      </c>
      <c r="J401" s="1" t="s">
        <v>2894</v>
      </c>
      <c r="K401" s="1" t="s">
        <v>137</v>
      </c>
      <c r="L401" s="1" t="s">
        <v>1408</v>
      </c>
      <c r="M401" s="1" t="s">
        <v>2895</v>
      </c>
      <c r="N401" s="1" t="s">
        <v>609</v>
      </c>
      <c r="O401" s="1" t="s">
        <v>2896</v>
      </c>
      <c r="P401" s="1" t="s">
        <v>601</v>
      </c>
      <c r="Q401" s="1" t="s">
        <v>2897</v>
      </c>
    </row>
    <row r="402" customFormat="false" ht="12.8" hidden="false" customHeight="false" outlineLevel="0" collapsed="false">
      <c r="A402" s="1" t="s">
        <v>17</v>
      </c>
      <c r="B402" s="1" t="s">
        <v>2463</v>
      </c>
      <c r="C402" s="1" t="s">
        <v>19</v>
      </c>
      <c r="D402" s="1" t="s">
        <v>2898</v>
      </c>
      <c r="E402" s="1" t="s">
        <v>2898</v>
      </c>
      <c r="F402" s="1" t="s">
        <v>2899</v>
      </c>
      <c r="G402" s="1" t="s">
        <v>22</v>
      </c>
      <c r="H402" s="1" t="s">
        <v>2900</v>
      </c>
      <c r="I402" s="3" t="b">
        <f aca="false">FALSE()</f>
        <v>0</v>
      </c>
      <c r="J402" s="1" t="s">
        <v>2901</v>
      </c>
      <c r="K402" s="1" t="s">
        <v>126</v>
      </c>
      <c r="L402" s="1" t="s">
        <v>1408</v>
      </c>
      <c r="M402" s="1" t="s">
        <v>2902</v>
      </c>
      <c r="N402" s="1" t="s">
        <v>2413</v>
      </c>
      <c r="O402" s="1" t="s">
        <v>42</v>
      </c>
      <c r="P402" s="1" t="s">
        <v>131</v>
      </c>
      <c r="Q402" s="1" t="s">
        <v>2903</v>
      </c>
    </row>
    <row r="403" customFormat="false" ht="12.8" hidden="false" customHeight="false" outlineLevel="0" collapsed="false">
      <c r="A403" s="1" t="s">
        <v>17</v>
      </c>
      <c r="B403" s="1" t="s">
        <v>2463</v>
      </c>
      <c r="C403" s="1" t="s">
        <v>19</v>
      </c>
      <c r="D403" s="1" t="s">
        <v>2904</v>
      </c>
      <c r="E403" s="1" t="s">
        <v>2904</v>
      </c>
      <c r="F403" s="1" t="s">
        <v>2905</v>
      </c>
      <c r="G403" s="1" t="s">
        <v>22</v>
      </c>
      <c r="H403" s="1" t="s">
        <v>2906</v>
      </c>
      <c r="I403" s="3" t="b">
        <f aca="false">FALSE()</f>
        <v>0</v>
      </c>
      <c r="J403" s="1" t="s">
        <v>2907</v>
      </c>
      <c r="K403" s="1" t="s">
        <v>126</v>
      </c>
      <c r="L403" s="1" t="s">
        <v>1511</v>
      </c>
      <c r="M403" s="1" t="s">
        <v>2908</v>
      </c>
      <c r="N403" s="1" t="s">
        <v>2909</v>
      </c>
      <c r="O403" s="1" t="s">
        <v>2910</v>
      </c>
      <c r="P403" s="1" t="s">
        <v>30</v>
      </c>
      <c r="Q403" s="1" t="s">
        <v>2911</v>
      </c>
    </row>
    <row r="404" customFormat="false" ht="12.8" hidden="false" customHeight="false" outlineLevel="0" collapsed="false">
      <c r="A404" s="1" t="s">
        <v>17</v>
      </c>
      <c r="B404" s="1" t="s">
        <v>2463</v>
      </c>
      <c r="C404" s="1" t="s">
        <v>19</v>
      </c>
      <c r="D404" s="1" t="s">
        <v>2912</v>
      </c>
      <c r="E404" s="1" t="s">
        <v>2912</v>
      </c>
      <c r="F404" s="1" t="s">
        <v>2913</v>
      </c>
      <c r="G404" s="1" t="s">
        <v>22</v>
      </c>
      <c r="H404" s="1" t="s">
        <v>2914</v>
      </c>
      <c r="I404" s="3" t="b">
        <f aca="false">FALSE()</f>
        <v>0</v>
      </c>
      <c r="J404" s="1" t="s">
        <v>2915</v>
      </c>
      <c r="K404" s="1" t="s">
        <v>126</v>
      </c>
      <c r="L404" s="1" t="s">
        <v>2916</v>
      </c>
      <c r="M404" s="1" t="s">
        <v>2917</v>
      </c>
      <c r="N404" s="1" t="s">
        <v>179</v>
      </c>
      <c r="O404" s="1" t="s">
        <v>179</v>
      </c>
      <c r="P404" s="1" t="s">
        <v>131</v>
      </c>
      <c r="Q404" s="1" t="s">
        <v>2918</v>
      </c>
    </row>
    <row r="405" customFormat="false" ht="12.8" hidden="false" customHeight="false" outlineLevel="0" collapsed="false">
      <c r="A405" s="1" t="s">
        <v>17</v>
      </c>
      <c r="B405" s="1" t="s">
        <v>2463</v>
      </c>
      <c r="C405" s="1" t="s">
        <v>19</v>
      </c>
      <c r="D405" s="1" t="s">
        <v>2919</v>
      </c>
      <c r="E405" s="1" t="s">
        <v>2919</v>
      </c>
      <c r="F405" s="1" t="s">
        <v>2920</v>
      </c>
      <c r="G405" s="1" t="s">
        <v>22</v>
      </c>
      <c r="H405" s="1" t="s">
        <v>2921</v>
      </c>
      <c r="I405" s="3" t="b">
        <f aca="false">FALSE()</f>
        <v>0</v>
      </c>
      <c r="J405" s="1" t="s">
        <v>2922</v>
      </c>
      <c r="K405" s="1" t="s">
        <v>49</v>
      </c>
      <c r="L405" s="1" t="s">
        <v>1533</v>
      </c>
      <c r="M405" s="1" t="s">
        <v>2923</v>
      </c>
      <c r="N405" s="1" t="s">
        <v>2924</v>
      </c>
      <c r="O405" s="1" t="s">
        <v>2925</v>
      </c>
      <c r="P405" s="1" t="s">
        <v>252</v>
      </c>
      <c r="Q405" s="1" t="s">
        <v>2926</v>
      </c>
    </row>
    <row r="406" customFormat="false" ht="12.8" hidden="false" customHeight="false" outlineLevel="0" collapsed="false">
      <c r="A406" s="1" t="s">
        <v>17</v>
      </c>
      <c r="B406" s="1" t="s">
        <v>2463</v>
      </c>
      <c r="C406" s="1" t="s">
        <v>19</v>
      </c>
      <c r="D406" s="1" t="s">
        <v>2927</v>
      </c>
      <c r="E406" s="1" t="s">
        <v>2927</v>
      </c>
      <c r="F406" s="1" t="s">
        <v>2928</v>
      </c>
      <c r="G406" s="1" t="s">
        <v>22</v>
      </c>
      <c r="H406" s="1" t="s">
        <v>2929</v>
      </c>
      <c r="I406" s="3" t="b">
        <f aca="false">FALSE()</f>
        <v>0</v>
      </c>
      <c r="J406" s="1" t="s">
        <v>2930</v>
      </c>
      <c r="K406" s="1" t="s">
        <v>25</v>
      </c>
      <c r="L406" s="1" t="s">
        <v>1227</v>
      </c>
      <c r="M406" s="1" t="s">
        <v>2931</v>
      </c>
      <c r="N406" s="1" t="s">
        <v>1243</v>
      </c>
      <c r="O406" s="1" t="s">
        <v>119</v>
      </c>
      <c r="P406" s="1" t="s">
        <v>2932</v>
      </c>
      <c r="Q406" s="1" t="s">
        <v>2933</v>
      </c>
    </row>
    <row r="407" customFormat="false" ht="12.8" hidden="false" customHeight="false" outlineLevel="0" collapsed="false">
      <c r="A407" s="1" t="s">
        <v>17</v>
      </c>
      <c r="B407" s="1" t="s">
        <v>2463</v>
      </c>
      <c r="C407" s="1" t="s">
        <v>19</v>
      </c>
      <c r="D407" s="1" t="s">
        <v>2934</v>
      </c>
      <c r="E407" s="1" t="s">
        <v>2934</v>
      </c>
      <c r="F407" s="1" t="s">
        <v>2935</v>
      </c>
      <c r="G407" s="1" t="s">
        <v>22</v>
      </c>
      <c r="H407" s="1" t="s">
        <v>2936</v>
      </c>
      <c r="I407" s="3" t="b">
        <f aca="false">FALSE()</f>
        <v>0</v>
      </c>
      <c r="J407" s="1" t="s">
        <v>2937</v>
      </c>
      <c r="K407" s="1" t="s">
        <v>25</v>
      </c>
      <c r="L407" s="1" t="s">
        <v>2145</v>
      </c>
      <c r="M407" s="1" t="s">
        <v>2938</v>
      </c>
      <c r="N407" s="1" t="s">
        <v>1321</v>
      </c>
      <c r="O407" s="1" t="s">
        <v>101</v>
      </c>
      <c r="P407" s="1" t="s">
        <v>131</v>
      </c>
      <c r="Q407" s="1" t="s">
        <v>2939</v>
      </c>
    </row>
    <row r="408" customFormat="false" ht="12.8" hidden="false" customHeight="false" outlineLevel="0" collapsed="false">
      <c r="A408" s="1" t="s">
        <v>17</v>
      </c>
      <c r="B408" s="1" t="s">
        <v>2463</v>
      </c>
      <c r="C408" s="1" t="s">
        <v>19</v>
      </c>
      <c r="D408" s="1" t="s">
        <v>2940</v>
      </c>
      <c r="E408" s="1" t="s">
        <v>2940</v>
      </c>
      <c r="F408" s="1" t="s">
        <v>2941</v>
      </c>
      <c r="G408" s="1" t="s">
        <v>22</v>
      </c>
      <c r="H408" s="1" t="s">
        <v>2942</v>
      </c>
      <c r="I408" s="3" t="b">
        <f aca="false">FALSE()</f>
        <v>0</v>
      </c>
      <c r="J408" s="1" t="s">
        <v>2943</v>
      </c>
      <c r="K408" s="1" t="s">
        <v>197</v>
      </c>
      <c r="L408" s="1" t="s">
        <v>2562</v>
      </c>
      <c r="M408" s="1" t="s">
        <v>2944</v>
      </c>
      <c r="N408" s="1" t="s">
        <v>1313</v>
      </c>
      <c r="O408" s="1" t="s">
        <v>2497</v>
      </c>
      <c r="P408" s="1" t="s">
        <v>2945</v>
      </c>
      <c r="Q408" s="1" t="s">
        <v>2946</v>
      </c>
    </row>
    <row r="409" customFormat="false" ht="12.8" hidden="false" customHeight="false" outlineLevel="0" collapsed="false">
      <c r="A409" s="1" t="s">
        <v>17</v>
      </c>
      <c r="B409" s="1" t="s">
        <v>2463</v>
      </c>
      <c r="C409" s="1" t="s">
        <v>19</v>
      </c>
      <c r="D409" s="1" t="s">
        <v>2947</v>
      </c>
      <c r="E409" s="1" t="s">
        <v>2947</v>
      </c>
      <c r="F409" s="1" t="s">
        <v>2948</v>
      </c>
      <c r="G409" s="1" t="s">
        <v>22</v>
      </c>
      <c r="H409" s="1" t="s">
        <v>2949</v>
      </c>
      <c r="I409" s="3" t="b">
        <f aca="false">FALSE()</f>
        <v>0</v>
      </c>
      <c r="J409" s="1" t="s">
        <v>2950</v>
      </c>
      <c r="K409" s="1" t="s">
        <v>197</v>
      </c>
      <c r="L409" s="1" t="s">
        <v>2035</v>
      </c>
      <c r="M409" s="1" t="s">
        <v>2951</v>
      </c>
      <c r="N409" s="1" t="s">
        <v>2359</v>
      </c>
      <c r="O409" s="1" t="s">
        <v>1043</v>
      </c>
      <c r="P409" s="1" t="s">
        <v>252</v>
      </c>
      <c r="Q409" s="1" t="s">
        <v>2952</v>
      </c>
    </row>
    <row r="410" customFormat="false" ht="12.8" hidden="false" customHeight="false" outlineLevel="0" collapsed="false">
      <c r="A410" s="1" t="s">
        <v>17</v>
      </c>
      <c r="B410" s="1" t="s">
        <v>2463</v>
      </c>
      <c r="C410" s="1" t="s">
        <v>19</v>
      </c>
      <c r="D410" s="1" t="s">
        <v>2953</v>
      </c>
      <c r="E410" s="1" t="s">
        <v>2953</v>
      </c>
      <c r="F410" s="1" t="s">
        <v>2954</v>
      </c>
      <c r="G410" s="1" t="s">
        <v>22</v>
      </c>
      <c r="H410" s="1" t="s">
        <v>2955</v>
      </c>
      <c r="I410" s="3" t="b">
        <f aca="false">FALSE()</f>
        <v>0</v>
      </c>
      <c r="J410" s="1" t="s">
        <v>2956</v>
      </c>
      <c r="K410" s="1" t="s">
        <v>197</v>
      </c>
      <c r="L410" s="1" t="s">
        <v>1830</v>
      </c>
      <c r="M410" s="1" t="s">
        <v>2957</v>
      </c>
      <c r="N410" s="1" t="s">
        <v>541</v>
      </c>
      <c r="O410" s="1" t="s">
        <v>42</v>
      </c>
      <c r="P410" s="1" t="s">
        <v>181</v>
      </c>
      <c r="Q410" s="1" t="s">
        <v>2958</v>
      </c>
    </row>
    <row r="411" customFormat="false" ht="12.8" hidden="false" customHeight="false" outlineLevel="0" collapsed="false">
      <c r="A411" s="1" t="s">
        <v>17</v>
      </c>
      <c r="B411" s="1" t="s">
        <v>2463</v>
      </c>
      <c r="C411" s="1" t="s">
        <v>19</v>
      </c>
      <c r="D411" s="1" t="s">
        <v>2959</v>
      </c>
      <c r="E411" s="1" t="s">
        <v>2959</v>
      </c>
      <c r="F411" s="1" t="s">
        <v>2960</v>
      </c>
      <c r="G411" s="1" t="s">
        <v>22</v>
      </c>
      <c r="H411" s="1" t="s">
        <v>2961</v>
      </c>
      <c r="I411" s="3" t="b">
        <f aca="false">FALSE()</f>
        <v>0</v>
      </c>
      <c r="J411" s="1" t="s">
        <v>2962</v>
      </c>
      <c r="K411" s="1" t="s">
        <v>197</v>
      </c>
      <c r="L411" s="1" t="s">
        <v>1855</v>
      </c>
      <c r="M411" s="1" t="s">
        <v>2963</v>
      </c>
      <c r="N411" s="1" t="s">
        <v>681</v>
      </c>
      <c r="O411" s="1" t="s">
        <v>42</v>
      </c>
      <c r="P411" s="1" t="s">
        <v>181</v>
      </c>
      <c r="Q411" s="1" t="s">
        <v>2964</v>
      </c>
    </row>
    <row r="412" customFormat="false" ht="12.8" hidden="false" customHeight="false" outlineLevel="0" collapsed="false">
      <c r="A412" s="1" t="s">
        <v>17</v>
      </c>
      <c r="B412" s="1" t="s">
        <v>2463</v>
      </c>
      <c r="C412" s="1" t="s">
        <v>19</v>
      </c>
      <c r="D412" s="1" t="s">
        <v>2965</v>
      </c>
      <c r="E412" s="1" t="s">
        <v>2965</v>
      </c>
      <c r="F412" s="1" t="s">
        <v>2966</v>
      </c>
      <c r="G412" s="1" t="s">
        <v>35</v>
      </c>
      <c r="H412" s="1" t="s">
        <v>2967</v>
      </c>
      <c r="I412" s="3" t="b">
        <f aca="false">FALSE()</f>
        <v>0</v>
      </c>
      <c r="J412" s="1" t="s">
        <v>2968</v>
      </c>
      <c r="K412" s="1" t="s">
        <v>60</v>
      </c>
      <c r="L412" s="1" t="s">
        <v>648</v>
      </c>
      <c r="M412" s="1" t="s">
        <v>2969</v>
      </c>
      <c r="N412" s="1" t="s">
        <v>902</v>
      </c>
      <c r="O412" s="1" t="s">
        <v>902</v>
      </c>
      <c r="P412" s="1" t="s">
        <v>43</v>
      </c>
      <c r="Q412" s="1" t="s">
        <v>2970</v>
      </c>
    </row>
    <row r="413" customFormat="false" ht="12.8" hidden="false" customHeight="false" outlineLevel="0" collapsed="false">
      <c r="A413" s="1" t="s">
        <v>17</v>
      </c>
      <c r="B413" s="1" t="s">
        <v>2463</v>
      </c>
      <c r="C413" s="1" t="s">
        <v>19</v>
      </c>
      <c r="D413" s="1" t="s">
        <v>2971</v>
      </c>
      <c r="E413" s="1" t="s">
        <v>2971</v>
      </c>
      <c r="F413" s="1" t="s">
        <v>2972</v>
      </c>
      <c r="G413" s="1" t="s">
        <v>22</v>
      </c>
      <c r="H413" s="1" t="s">
        <v>2973</v>
      </c>
      <c r="I413" s="3" t="b">
        <f aca="false">FALSE()</f>
        <v>0</v>
      </c>
      <c r="J413" s="1" t="s">
        <v>2974</v>
      </c>
      <c r="K413" s="1" t="s">
        <v>137</v>
      </c>
      <c r="L413" s="1" t="s">
        <v>148</v>
      </c>
      <c r="M413" s="1" t="s">
        <v>2975</v>
      </c>
      <c r="N413" s="1" t="s">
        <v>223</v>
      </c>
      <c r="O413" s="1" t="s">
        <v>780</v>
      </c>
      <c r="P413" s="1" t="s">
        <v>131</v>
      </c>
      <c r="Q413" s="1" t="s">
        <v>2976</v>
      </c>
    </row>
    <row r="414" customFormat="false" ht="12.8" hidden="false" customHeight="false" outlineLevel="0" collapsed="false">
      <c r="A414" s="1" t="s">
        <v>17</v>
      </c>
      <c r="B414" s="1" t="s">
        <v>2463</v>
      </c>
      <c r="C414" s="1" t="s">
        <v>19</v>
      </c>
      <c r="D414" s="1" t="s">
        <v>2977</v>
      </c>
      <c r="E414" s="1" t="s">
        <v>2977</v>
      </c>
      <c r="F414" s="1" t="s">
        <v>2978</v>
      </c>
      <c r="G414" s="1" t="s">
        <v>22</v>
      </c>
      <c r="H414" s="1" t="s">
        <v>2979</v>
      </c>
      <c r="I414" s="3" t="b">
        <f aca="false">FALSE()</f>
        <v>0</v>
      </c>
      <c r="J414" s="1" t="s">
        <v>2980</v>
      </c>
      <c r="K414" s="1" t="s">
        <v>49</v>
      </c>
      <c r="L414" s="1" t="s">
        <v>787</v>
      </c>
      <c r="M414" s="1" t="s">
        <v>2981</v>
      </c>
      <c r="N414" s="1" t="s">
        <v>216</v>
      </c>
      <c r="O414" s="1" t="s">
        <v>216</v>
      </c>
      <c r="P414" s="1" t="s">
        <v>772</v>
      </c>
      <c r="Q414" s="1" t="s">
        <v>2982</v>
      </c>
    </row>
    <row r="415" customFormat="false" ht="12.8" hidden="false" customHeight="false" outlineLevel="0" collapsed="false">
      <c r="A415" s="1" t="s">
        <v>17</v>
      </c>
      <c r="B415" s="1" t="s">
        <v>2463</v>
      </c>
      <c r="C415" s="1" t="s">
        <v>19</v>
      </c>
      <c r="D415" s="1" t="s">
        <v>2983</v>
      </c>
      <c r="E415" s="1" t="s">
        <v>2983</v>
      </c>
      <c r="F415" s="1" t="s">
        <v>2984</v>
      </c>
      <c r="G415" s="1" t="s">
        <v>22</v>
      </c>
      <c r="H415" s="1" t="s">
        <v>2985</v>
      </c>
      <c r="I415" s="3" t="b">
        <f aca="false">FALSE()</f>
        <v>0</v>
      </c>
      <c r="J415" s="1" t="s">
        <v>2986</v>
      </c>
      <c r="K415" s="1" t="s">
        <v>197</v>
      </c>
      <c r="L415" s="1" t="s">
        <v>983</v>
      </c>
      <c r="M415" s="1" t="s">
        <v>2987</v>
      </c>
      <c r="N415" s="1" t="s">
        <v>119</v>
      </c>
      <c r="O415" s="1" t="s">
        <v>199</v>
      </c>
      <c r="P415" s="1" t="s">
        <v>209</v>
      </c>
      <c r="Q415" s="1" t="s">
        <v>2988</v>
      </c>
    </row>
    <row r="416" customFormat="false" ht="12.8" hidden="false" customHeight="false" outlineLevel="0" collapsed="false">
      <c r="A416" s="1" t="s">
        <v>17</v>
      </c>
      <c r="B416" s="1" t="s">
        <v>2463</v>
      </c>
      <c r="C416" s="1" t="s">
        <v>19</v>
      </c>
      <c r="D416" s="1" t="s">
        <v>2989</v>
      </c>
      <c r="E416" s="1" t="s">
        <v>2989</v>
      </c>
      <c r="F416" s="1" t="s">
        <v>2990</v>
      </c>
      <c r="G416" s="1" t="s">
        <v>22</v>
      </c>
      <c r="H416" s="1" t="s">
        <v>2991</v>
      </c>
      <c r="I416" s="3" t="b">
        <f aca="false">FALSE()</f>
        <v>0</v>
      </c>
      <c r="J416" s="1" t="s">
        <v>2992</v>
      </c>
      <c r="K416" s="1" t="s">
        <v>126</v>
      </c>
      <c r="L416" s="1" t="s">
        <v>2993</v>
      </c>
      <c r="M416" s="1" t="s">
        <v>2994</v>
      </c>
      <c r="N416" s="1" t="s">
        <v>342</v>
      </c>
      <c r="O416" s="1" t="s">
        <v>63</v>
      </c>
      <c r="P416" s="1" t="s">
        <v>352</v>
      </c>
      <c r="Q416" s="1" t="s">
        <v>2995</v>
      </c>
    </row>
    <row r="417" customFormat="false" ht="12.8" hidden="false" customHeight="false" outlineLevel="0" collapsed="false">
      <c r="A417" s="1" t="s">
        <v>17</v>
      </c>
      <c r="B417" s="1" t="s">
        <v>2463</v>
      </c>
      <c r="C417" s="1" t="s">
        <v>19</v>
      </c>
      <c r="D417" s="1" t="s">
        <v>2996</v>
      </c>
      <c r="E417" s="1" t="s">
        <v>2996</v>
      </c>
      <c r="F417" s="1" t="s">
        <v>2997</v>
      </c>
      <c r="G417" s="1" t="s">
        <v>22</v>
      </c>
      <c r="H417" s="1" t="s">
        <v>2998</v>
      </c>
      <c r="I417" s="3" t="b">
        <f aca="false">FALSE()</f>
        <v>0</v>
      </c>
      <c r="J417" s="1" t="s">
        <v>2999</v>
      </c>
      <c r="K417" s="1" t="s">
        <v>1283</v>
      </c>
      <c r="L417" s="1" t="s">
        <v>1401</v>
      </c>
      <c r="M417" s="1" t="s">
        <v>3000</v>
      </c>
      <c r="N417" s="1" t="s">
        <v>41</v>
      </c>
      <c r="O417" s="1" t="s">
        <v>342</v>
      </c>
      <c r="P417" s="1" t="s">
        <v>141</v>
      </c>
      <c r="Q417" s="1" t="s">
        <v>3001</v>
      </c>
    </row>
    <row r="418" customFormat="false" ht="12.8" hidden="false" customHeight="false" outlineLevel="0" collapsed="false">
      <c r="A418" s="1" t="s">
        <v>17</v>
      </c>
      <c r="B418" s="1" t="s">
        <v>2463</v>
      </c>
      <c r="C418" s="1" t="s">
        <v>19</v>
      </c>
      <c r="D418" s="1" t="s">
        <v>3002</v>
      </c>
      <c r="E418" s="1" t="s">
        <v>3002</v>
      </c>
      <c r="F418" s="1" t="s">
        <v>3003</v>
      </c>
      <c r="G418" s="1" t="s">
        <v>22</v>
      </c>
      <c r="H418" s="1" t="s">
        <v>3004</v>
      </c>
      <c r="I418" s="3" t="b">
        <f aca="false">FALSE()</f>
        <v>0</v>
      </c>
      <c r="J418" s="1" t="s">
        <v>3005</v>
      </c>
      <c r="K418" s="1" t="s">
        <v>126</v>
      </c>
      <c r="L418" s="1" t="s">
        <v>915</v>
      </c>
      <c r="M418" s="1" t="s">
        <v>3006</v>
      </c>
      <c r="N418" s="1" t="s">
        <v>1312</v>
      </c>
      <c r="O418" s="1" t="s">
        <v>1008</v>
      </c>
      <c r="P418" s="1" t="s">
        <v>781</v>
      </c>
      <c r="Q418" s="1" t="s">
        <v>3007</v>
      </c>
    </row>
    <row r="419" customFormat="false" ht="12.8" hidden="false" customHeight="false" outlineLevel="0" collapsed="false">
      <c r="A419" s="1" t="s">
        <v>17</v>
      </c>
      <c r="B419" s="1" t="s">
        <v>2463</v>
      </c>
      <c r="C419" s="1" t="s">
        <v>19</v>
      </c>
      <c r="D419" s="1" t="s">
        <v>3008</v>
      </c>
      <c r="E419" s="1" t="s">
        <v>3008</v>
      </c>
      <c r="F419" s="1" t="s">
        <v>3009</v>
      </c>
      <c r="G419" s="1" t="s">
        <v>22</v>
      </c>
      <c r="H419" s="1" t="s">
        <v>3010</v>
      </c>
      <c r="I419" s="3" t="b">
        <f aca="false">FALSE()</f>
        <v>0</v>
      </c>
      <c r="J419" s="1" t="s">
        <v>3011</v>
      </c>
      <c r="K419" s="1" t="s">
        <v>137</v>
      </c>
      <c r="L419" s="1" t="s">
        <v>3012</v>
      </c>
      <c r="M419" s="1" t="s">
        <v>3013</v>
      </c>
      <c r="N419" s="1" t="s">
        <v>3014</v>
      </c>
      <c r="O419" s="1" t="s">
        <v>3015</v>
      </c>
      <c r="P419" s="1" t="s">
        <v>601</v>
      </c>
      <c r="Q419" s="1" t="s">
        <v>3016</v>
      </c>
    </row>
    <row r="420" customFormat="false" ht="12.8" hidden="false" customHeight="false" outlineLevel="0" collapsed="false">
      <c r="A420" s="1" t="s">
        <v>17</v>
      </c>
      <c r="B420" s="1" t="s">
        <v>2463</v>
      </c>
      <c r="C420" s="1" t="s">
        <v>19</v>
      </c>
      <c r="D420" s="1" t="s">
        <v>3017</v>
      </c>
      <c r="E420" s="1" t="s">
        <v>3017</v>
      </c>
      <c r="F420" s="1" t="s">
        <v>3018</v>
      </c>
      <c r="G420" s="1" t="s">
        <v>22</v>
      </c>
      <c r="H420" s="1" t="s">
        <v>3019</v>
      </c>
      <c r="I420" s="3" t="b">
        <f aca="false">FALSE()</f>
        <v>0</v>
      </c>
      <c r="J420" s="1" t="s">
        <v>3020</v>
      </c>
      <c r="K420" s="1" t="s">
        <v>197</v>
      </c>
      <c r="L420" s="1" t="s">
        <v>3012</v>
      </c>
      <c r="M420" s="1" t="s">
        <v>3021</v>
      </c>
      <c r="N420" s="1" t="s">
        <v>625</v>
      </c>
      <c r="O420" s="1" t="s">
        <v>625</v>
      </c>
      <c r="P420" s="1" t="s">
        <v>312</v>
      </c>
      <c r="Q420" s="1" t="s">
        <v>3022</v>
      </c>
    </row>
    <row r="421" customFormat="false" ht="12.8" hidden="false" customHeight="false" outlineLevel="0" collapsed="false">
      <c r="A421" s="1" t="s">
        <v>17</v>
      </c>
      <c r="B421" s="1" t="s">
        <v>2463</v>
      </c>
      <c r="C421" s="1" t="s">
        <v>19</v>
      </c>
      <c r="D421" s="1" t="s">
        <v>3023</v>
      </c>
      <c r="E421" s="1" t="s">
        <v>3023</v>
      </c>
      <c r="F421" s="1" t="s">
        <v>3024</v>
      </c>
      <c r="G421" s="1" t="s">
        <v>22</v>
      </c>
      <c r="H421" s="1" t="s">
        <v>3025</v>
      </c>
      <c r="I421" s="3" t="b">
        <f aca="false">FALSE()</f>
        <v>0</v>
      </c>
      <c r="J421" s="1" t="s">
        <v>3026</v>
      </c>
      <c r="K421" s="1" t="s">
        <v>197</v>
      </c>
      <c r="L421" s="1" t="s">
        <v>1906</v>
      </c>
      <c r="M421" s="1" t="s">
        <v>3027</v>
      </c>
      <c r="N421" s="1" t="s">
        <v>902</v>
      </c>
      <c r="O421" s="1" t="s">
        <v>561</v>
      </c>
      <c r="P421" s="1" t="s">
        <v>698</v>
      </c>
      <c r="Q421" s="1" t="s">
        <v>3028</v>
      </c>
    </row>
    <row r="422" customFormat="false" ht="12.8" hidden="false" customHeight="false" outlineLevel="0" collapsed="false">
      <c r="A422" s="1" t="s">
        <v>17</v>
      </c>
      <c r="B422" s="1" t="s">
        <v>2463</v>
      </c>
      <c r="C422" s="1" t="s">
        <v>19</v>
      </c>
      <c r="D422" s="1" t="s">
        <v>3029</v>
      </c>
      <c r="E422" s="1" t="s">
        <v>3029</v>
      </c>
      <c r="F422" s="1" t="s">
        <v>3030</v>
      </c>
      <c r="G422" s="1" t="s">
        <v>22</v>
      </c>
      <c r="H422" s="1" t="s">
        <v>3031</v>
      </c>
      <c r="I422" s="3" t="b">
        <f aca="false">FALSE()</f>
        <v>0</v>
      </c>
      <c r="J422" s="1" t="s">
        <v>3032</v>
      </c>
      <c r="K422" s="1" t="s">
        <v>147</v>
      </c>
      <c r="L422" s="1" t="s">
        <v>1879</v>
      </c>
      <c r="M422" s="1" t="s">
        <v>3033</v>
      </c>
      <c r="N422" s="1" t="s">
        <v>570</v>
      </c>
      <c r="O422" s="1" t="s">
        <v>895</v>
      </c>
      <c r="P422" s="1" t="s">
        <v>352</v>
      </c>
      <c r="Q422" s="1" t="s">
        <v>3034</v>
      </c>
    </row>
    <row r="423" customFormat="false" ht="12.8" hidden="false" customHeight="false" outlineLevel="0" collapsed="false">
      <c r="A423" s="1" t="s">
        <v>17</v>
      </c>
      <c r="B423" s="1" t="s">
        <v>2463</v>
      </c>
      <c r="C423" s="1" t="s">
        <v>19</v>
      </c>
      <c r="D423" s="1" t="s">
        <v>3035</v>
      </c>
      <c r="E423" s="1" t="s">
        <v>3035</v>
      </c>
      <c r="F423" s="1" t="s">
        <v>3036</v>
      </c>
      <c r="G423" s="1" t="s">
        <v>22</v>
      </c>
      <c r="H423" s="1" t="s">
        <v>3037</v>
      </c>
      <c r="I423" s="3" t="b">
        <f aca="false">FALSE()</f>
        <v>0</v>
      </c>
      <c r="J423" s="1" t="s">
        <v>3038</v>
      </c>
      <c r="K423" s="1" t="s">
        <v>147</v>
      </c>
      <c r="L423" s="1" t="s">
        <v>1586</v>
      </c>
      <c r="M423" s="1" t="s">
        <v>3039</v>
      </c>
      <c r="N423" s="1" t="s">
        <v>443</v>
      </c>
      <c r="O423" s="1" t="s">
        <v>242</v>
      </c>
      <c r="P423" s="1" t="s">
        <v>30</v>
      </c>
      <c r="Q423" s="1" t="s">
        <v>3040</v>
      </c>
    </row>
    <row r="424" customFormat="false" ht="12.8" hidden="false" customHeight="false" outlineLevel="0" collapsed="false">
      <c r="A424" s="1" t="s">
        <v>17</v>
      </c>
      <c r="B424" s="1" t="s">
        <v>2463</v>
      </c>
      <c r="C424" s="1" t="s">
        <v>19</v>
      </c>
      <c r="D424" s="1" t="s">
        <v>3041</v>
      </c>
      <c r="E424" s="1" t="s">
        <v>3041</v>
      </c>
      <c r="F424" s="1" t="s">
        <v>3042</v>
      </c>
      <c r="G424" s="1" t="s">
        <v>22</v>
      </c>
      <c r="H424" s="1" t="s">
        <v>3043</v>
      </c>
      <c r="I424" s="3" t="b">
        <f aca="false">FALSE()</f>
        <v>0</v>
      </c>
      <c r="J424" s="1" t="s">
        <v>3044</v>
      </c>
      <c r="K424" s="1" t="s">
        <v>137</v>
      </c>
      <c r="L424" s="1" t="s">
        <v>1241</v>
      </c>
      <c r="M424" s="1" t="s">
        <v>3045</v>
      </c>
      <c r="N424" s="1" t="s">
        <v>3046</v>
      </c>
      <c r="O424" s="1" t="s">
        <v>151</v>
      </c>
      <c r="P424" s="1" t="s">
        <v>181</v>
      </c>
      <c r="Q424" s="1" t="s">
        <v>3047</v>
      </c>
    </row>
    <row r="425" customFormat="false" ht="12.8" hidden="false" customHeight="false" outlineLevel="0" collapsed="false">
      <c r="A425" s="1" t="s">
        <v>17</v>
      </c>
      <c r="B425" s="1" t="s">
        <v>2463</v>
      </c>
      <c r="C425" s="1" t="s">
        <v>19</v>
      </c>
      <c r="D425" s="1" t="s">
        <v>3048</v>
      </c>
      <c r="E425" s="1" t="s">
        <v>3048</v>
      </c>
      <c r="F425" s="1" t="s">
        <v>3049</v>
      </c>
      <c r="G425" s="1" t="s">
        <v>22</v>
      </c>
      <c r="H425" s="1" t="s">
        <v>3050</v>
      </c>
      <c r="I425" s="3" t="b">
        <f aca="false">FALSE()</f>
        <v>0</v>
      </c>
      <c r="J425" s="1" t="s">
        <v>3051</v>
      </c>
      <c r="K425" s="1" t="s">
        <v>126</v>
      </c>
      <c r="L425" s="1" t="s">
        <v>1085</v>
      </c>
      <c r="M425" s="1" t="s">
        <v>3052</v>
      </c>
      <c r="N425" s="1" t="s">
        <v>3053</v>
      </c>
      <c r="O425" s="1" t="s">
        <v>130</v>
      </c>
      <c r="P425" s="1" t="s">
        <v>30</v>
      </c>
      <c r="Q425" s="1" t="s">
        <v>3054</v>
      </c>
    </row>
    <row r="426" customFormat="false" ht="12.8" hidden="false" customHeight="false" outlineLevel="0" collapsed="false">
      <c r="A426" s="1" t="s">
        <v>17</v>
      </c>
      <c r="B426" s="1" t="s">
        <v>2463</v>
      </c>
      <c r="C426" s="1" t="s">
        <v>19</v>
      </c>
      <c r="D426" s="1" t="s">
        <v>3055</v>
      </c>
      <c r="E426" s="1" t="s">
        <v>3055</v>
      </c>
      <c r="F426" s="1" t="s">
        <v>3056</v>
      </c>
      <c r="G426" s="1" t="s">
        <v>22</v>
      </c>
      <c r="H426" s="1" t="s">
        <v>3057</v>
      </c>
      <c r="I426" s="3" t="b">
        <f aca="false">FALSE()</f>
        <v>0</v>
      </c>
      <c r="J426" s="1" t="s">
        <v>3058</v>
      </c>
      <c r="K426" s="1" t="s">
        <v>126</v>
      </c>
      <c r="L426" s="1" t="s">
        <v>333</v>
      </c>
      <c r="M426" s="1" t="s">
        <v>3059</v>
      </c>
      <c r="N426" s="1" t="s">
        <v>824</v>
      </c>
      <c r="O426" s="1" t="s">
        <v>824</v>
      </c>
      <c r="P426" s="1" t="s">
        <v>131</v>
      </c>
      <c r="Q426" s="1" t="s">
        <v>3060</v>
      </c>
    </row>
    <row r="427" customFormat="false" ht="12.8" hidden="false" customHeight="false" outlineLevel="0" collapsed="false">
      <c r="A427" s="1" t="s">
        <v>17</v>
      </c>
      <c r="B427" s="1" t="s">
        <v>2463</v>
      </c>
      <c r="C427" s="1" t="s">
        <v>19</v>
      </c>
      <c r="D427" s="1" t="s">
        <v>3061</v>
      </c>
      <c r="E427" s="1" t="s">
        <v>3061</v>
      </c>
      <c r="F427" s="1" t="s">
        <v>3062</v>
      </c>
      <c r="G427" s="1" t="s">
        <v>22</v>
      </c>
      <c r="H427" s="1" t="s">
        <v>3063</v>
      </c>
      <c r="I427" s="3" t="b">
        <f aca="false">FALSE()</f>
        <v>0</v>
      </c>
      <c r="J427" s="1" t="s">
        <v>3064</v>
      </c>
      <c r="K427" s="1" t="s">
        <v>49</v>
      </c>
      <c r="L427" s="1" t="s">
        <v>1341</v>
      </c>
      <c r="M427" s="1" t="s">
        <v>3065</v>
      </c>
      <c r="N427" s="1" t="s">
        <v>3066</v>
      </c>
      <c r="O427" s="1" t="s">
        <v>3067</v>
      </c>
      <c r="P427" s="1" t="s">
        <v>312</v>
      </c>
      <c r="Q427" s="1" t="s">
        <v>3068</v>
      </c>
    </row>
    <row r="428" customFormat="false" ht="12.8" hidden="false" customHeight="false" outlineLevel="0" collapsed="false">
      <c r="A428" s="1" t="s">
        <v>17</v>
      </c>
      <c r="B428" s="1" t="s">
        <v>2463</v>
      </c>
      <c r="C428" s="1" t="s">
        <v>19</v>
      </c>
      <c r="D428" s="1" t="s">
        <v>3069</v>
      </c>
      <c r="E428" s="1" t="s">
        <v>3069</v>
      </c>
      <c r="F428" s="1" t="s">
        <v>3070</v>
      </c>
      <c r="G428" s="1" t="s">
        <v>22</v>
      </c>
      <c r="H428" s="1" t="s">
        <v>3071</v>
      </c>
      <c r="I428" s="3" t="b">
        <f aca="false">FALSE()</f>
        <v>0</v>
      </c>
      <c r="J428" s="1" t="s">
        <v>3072</v>
      </c>
      <c r="K428" s="1" t="s">
        <v>126</v>
      </c>
      <c r="L428" s="1" t="s">
        <v>158</v>
      </c>
      <c r="M428" s="1" t="s">
        <v>3073</v>
      </c>
      <c r="N428" s="1" t="s">
        <v>3074</v>
      </c>
      <c r="O428" s="1" t="s">
        <v>534</v>
      </c>
      <c r="P428" s="1" t="s">
        <v>161</v>
      </c>
      <c r="Q428" s="1" t="s">
        <v>3075</v>
      </c>
    </row>
    <row r="429" customFormat="false" ht="12.8" hidden="false" customHeight="false" outlineLevel="0" collapsed="false">
      <c r="A429" s="1" t="s">
        <v>17</v>
      </c>
      <c r="B429" s="1" t="s">
        <v>2463</v>
      </c>
      <c r="C429" s="1" t="s">
        <v>19</v>
      </c>
      <c r="D429" s="1" t="s">
        <v>3076</v>
      </c>
      <c r="E429" s="1" t="s">
        <v>3076</v>
      </c>
      <c r="F429" s="1" t="s">
        <v>3077</v>
      </c>
      <c r="G429" s="1" t="s">
        <v>22</v>
      </c>
      <c r="H429" s="1" t="s">
        <v>3078</v>
      </c>
      <c r="I429" s="3" t="b">
        <f aca="false">FALSE()</f>
        <v>0</v>
      </c>
      <c r="J429" s="1" t="s">
        <v>3079</v>
      </c>
      <c r="K429" s="1" t="s">
        <v>293</v>
      </c>
      <c r="L429" s="1" t="s">
        <v>188</v>
      </c>
      <c r="M429" s="1" t="s">
        <v>3080</v>
      </c>
      <c r="N429" s="1" t="s">
        <v>1736</v>
      </c>
      <c r="O429" s="1" t="s">
        <v>3081</v>
      </c>
      <c r="P429" s="1" t="s">
        <v>561</v>
      </c>
      <c r="Q429" s="1" t="s">
        <v>3082</v>
      </c>
    </row>
    <row r="430" customFormat="false" ht="12.8" hidden="false" customHeight="false" outlineLevel="0" collapsed="false">
      <c r="A430" s="1" t="s">
        <v>17</v>
      </c>
      <c r="B430" s="1" t="s">
        <v>2463</v>
      </c>
      <c r="C430" s="1" t="s">
        <v>19</v>
      </c>
      <c r="D430" s="1" t="s">
        <v>3083</v>
      </c>
      <c r="E430" s="1" t="s">
        <v>3083</v>
      </c>
      <c r="F430" s="1" t="s">
        <v>3084</v>
      </c>
      <c r="G430" s="1" t="s">
        <v>22</v>
      </c>
      <c r="H430" s="1" t="s">
        <v>3085</v>
      </c>
      <c r="I430" s="3" t="b">
        <f aca="false">FALSE()</f>
        <v>0</v>
      </c>
      <c r="J430" s="1" t="s">
        <v>3086</v>
      </c>
      <c r="K430" s="1" t="s">
        <v>197</v>
      </c>
      <c r="L430" s="1" t="s">
        <v>1112</v>
      </c>
      <c r="M430" s="1" t="s">
        <v>3087</v>
      </c>
      <c r="N430" s="1" t="s">
        <v>802</v>
      </c>
      <c r="O430" s="1" t="s">
        <v>2602</v>
      </c>
      <c r="P430" s="1" t="s">
        <v>270</v>
      </c>
      <c r="Q430" s="1" t="s">
        <v>3088</v>
      </c>
    </row>
    <row r="431" customFormat="false" ht="12.8" hidden="false" customHeight="false" outlineLevel="0" collapsed="false">
      <c r="A431" s="1" t="s">
        <v>17</v>
      </c>
      <c r="B431" s="1" t="s">
        <v>2463</v>
      </c>
      <c r="C431" s="1" t="s">
        <v>19</v>
      </c>
      <c r="D431" s="1" t="s">
        <v>3089</v>
      </c>
      <c r="E431" s="1" t="s">
        <v>3089</v>
      </c>
      <c r="F431" s="1" t="s">
        <v>3090</v>
      </c>
      <c r="G431" s="1" t="s">
        <v>22</v>
      </c>
      <c r="H431" s="1" t="s">
        <v>3091</v>
      </c>
      <c r="I431" s="3" t="b">
        <f aca="false">FALSE()</f>
        <v>0</v>
      </c>
      <c r="J431" s="1" t="s">
        <v>3092</v>
      </c>
      <c r="K431" s="1" t="s">
        <v>147</v>
      </c>
      <c r="L431" s="1" t="s">
        <v>1069</v>
      </c>
      <c r="M431" s="1" t="s">
        <v>3093</v>
      </c>
      <c r="N431" s="1" t="s">
        <v>3094</v>
      </c>
      <c r="O431" s="1" t="s">
        <v>1114</v>
      </c>
      <c r="P431" s="1" t="s">
        <v>252</v>
      </c>
      <c r="Q431" s="1" t="s">
        <v>3095</v>
      </c>
    </row>
    <row r="432" customFormat="false" ht="12.8" hidden="false" customHeight="false" outlineLevel="0" collapsed="false">
      <c r="A432" s="1" t="s">
        <v>17</v>
      </c>
      <c r="B432" s="1" t="s">
        <v>2463</v>
      </c>
      <c r="C432" s="1" t="s">
        <v>19</v>
      </c>
      <c r="D432" s="1" t="s">
        <v>3096</v>
      </c>
      <c r="E432" s="1" t="s">
        <v>3096</v>
      </c>
      <c r="F432" s="1" t="s">
        <v>3097</v>
      </c>
      <c r="G432" s="1" t="s">
        <v>22</v>
      </c>
      <c r="H432" s="1" t="s">
        <v>3098</v>
      </c>
      <c r="I432" s="3" t="b">
        <f aca="false">FALSE()</f>
        <v>0</v>
      </c>
      <c r="J432" s="1" t="s">
        <v>3099</v>
      </c>
      <c r="K432" s="1" t="s">
        <v>137</v>
      </c>
      <c r="L432" s="1" t="s">
        <v>2672</v>
      </c>
      <c r="M432" s="1" t="s">
        <v>3100</v>
      </c>
      <c r="N432" s="1" t="s">
        <v>3101</v>
      </c>
      <c r="O432" s="1" t="s">
        <v>2674</v>
      </c>
      <c r="P432" s="1" t="s">
        <v>1173</v>
      </c>
      <c r="Q432" s="1" t="s">
        <v>3102</v>
      </c>
    </row>
    <row r="433" customFormat="false" ht="12.8" hidden="false" customHeight="false" outlineLevel="0" collapsed="false">
      <c r="A433" s="1" t="s">
        <v>17</v>
      </c>
      <c r="B433" s="1" t="s">
        <v>2463</v>
      </c>
      <c r="C433" s="1" t="s">
        <v>19</v>
      </c>
      <c r="D433" s="1" t="s">
        <v>3103</v>
      </c>
      <c r="E433" s="1" t="s">
        <v>3103</v>
      </c>
      <c r="F433" s="1" t="s">
        <v>3104</v>
      </c>
      <c r="G433" s="1" t="s">
        <v>22</v>
      </c>
      <c r="H433" s="1" t="s">
        <v>3105</v>
      </c>
      <c r="I433" s="3" t="b">
        <f aca="false">FALSE()</f>
        <v>0</v>
      </c>
      <c r="J433" s="1" t="s">
        <v>3106</v>
      </c>
      <c r="K433" s="1" t="s">
        <v>126</v>
      </c>
      <c r="L433" s="1" t="s">
        <v>167</v>
      </c>
      <c r="M433" s="1" t="s">
        <v>3107</v>
      </c>
      <c r="N433" s="1" t="s">
        <v>1313</v>
      </c>
      <c r="O433" s="1" t="s">
        <v>570</v>
      </c>
      <c r="P433" s="1" t="s">
        <v>161</v>
      </c>
      <c r="Q433" s="1" t="s">
        <v>3108</v>
      </c>
    </row>
    <row r="434" customFormat="false" ht="12.8" hidden="false" customHeight="false" outlineLevel="0" collapsed="false">
      <c r="A434" s="1" t="s">
        <v>17</v>
      </c>
      <c r="B434" s="1" t="s">
        <v>2463</v>
      </c>
      <c r="C434" s="1" t="s">
        <v>19</v>
      </c>
      <c r="D434" s="1" t="s">
        <v>3109</v>
      </c>
      <c r="E434" s="1" t="s">
        <v>3109</v>
      </c>
      <c r="F434" s="1" t="s">
        <v>3110</v>
      </c>
      <c r="G434" s="1" t="s">
        <v>22</v>
      </c>
      <c r="H434" s="1" t="s">
        <v>3111</v>
      </c>
      <c r="I434" s="3" t="b">
        <f aca="false">FALSE()</f>
        <v>0</v>
      </c>
      <c r="J434" s="1" t="s">
        <v>3112</v>
      </c>
      <c r="K434" s="1" t="s">
        <v>126</v>
      </c>
      <c r="L434" s="1" t="s">
        <v>1511</v>
      </c>
      <c r="M434" s="1" t="s">
        <v>3113</v>
      </c>
      <c r="N434" s="1" t="s">
        <v>3114</v>
      </c>
      <c r="O434" s="1" t="s">
        <v>3115</v>
      </c>
      <c r="P434" s="1" t="s">
        <v>30</v>
      </c>
      <c r="Q434" s="1" t="s">
        <v>3116</v>
      </c>
    </row>
    <row r="435" customFormat="false" ht="12.8" hidden="false" customHeight="false" outlineLevel="0" collapsed="false">
      <c r="A435" s="1" t="s">
        <v>17</v>
      </c>
      <c r="B435" s="1" t="s">
        <v>2463</v>
      </c>
      <c r="C435" s="1" t="s">
        <v>19</v>
      </c>
      <c r="D435" s="1" t="s">
        <v>3117</v>
      </c>
      <c r="E435" s="1" t="s">
        <v>3117</v>
      </c>
      <c r="F435" s="1" t="s">
        <v>3118</v>
      </c>
      <c r="G435" s="1" t="s">
        <v>22</v>
      </c>
      <c r="H435" s="1" t="s">
        <v>3119</v>
      </c>
      <c r="I435" s="3" t="b">
        <f aca="false">FALSE()</f>
        <v>0</v>
      </c>
      <c r="J435" s="1" t="s">
        <v>3120</v>
      </c>
      <c r="K435" s="1" t="s">
        <v>137</v>
      </c>
      <c r="L435" s="1" t="s">
        <v>333</v>
      </c>
      <c r="M435" s="1" t="s">
        <v>3121</v>
      </c>
      <c r="N435" s="1" t="s">
        <v>571</v>
      </c>
      <c r="O435" s="1" t="s">
        <v>63</v>
      </c>
      <c r="P435" s="1" t="s">
        <v>781</v>
      </c>
      <c r="Q435" s="1" t="s">
        <v>3122</v>
      </c>
    </row>
    <row r="436" customFormat="false" ht="12.8" hidden="false" customHeight="false" outlineLevel="0" collapsed="false">
      <c r="A436" s="1" t="s">
        <v>17</v>
      </c>
      <c r="B436" s="1" t="s">
        <v>2463</v>
      </c>
      <c r="C436" s="1" t="s">
        <v>19</v>
      </c>
      <c r="D436" s="1" t="s">
        <v>3123</v>
      </c>
      <c r="E436" s="1" t="s">
        <v>3123</v>
      </c>
      <c r="F436" s="1" t="s">
        <v>3124</v>
      </c>
      <c r="G436" s="1" t="s">
        <v>22</v>
      </c>
      <c r="H436" s="1" t="s">
        <v>3125</v>
      </c>
      <c r="I436" s="3" t="b">
        <f aca="false">FALSE()</f>
        <v>0</v>
      </c>
      <c r="J436" s="1" t="s">
        <v>3126</v>
      </c>
      <c r="K436" s="1" t="s">
        <v>147</v>
      </c>
      <c r="L436" s="1" t="s">
        <v>3127</v>
      </c>
      <c r="M436" s="1" t="s">
        <v>3128</v>
      </c>
      <c r="N436" s="1" t="s">
        <v>1256</v>
      </c>
      <c r="O436" s="1" t="s">
        <v>1359</v>
      </c>
      <c r="P436" s="1" t="s">
        <v>30</v>
      </c>
      <c r="Q436" s="1" t="s">
        <v>3129</v>
      </c>
    </row>
    <row r="437" customFormat="false" ht="12.8" hidden="false" customHeight="false" outlineLevel="0" collapsed="false">
      <c r="A437" s="1" t="s">
        <v>17</v>
      </c>
      <c r="B437" s="1" t="s">
        <v>2463</v>
      </c>
      <c r="C437" s="1" t="s">
        <v>19</v>
      </c>
      <c r="D437" s="1" t="s">
        <v>3130</v>
      </c>
      <c r="E437" s="1" t="s">
        <v>3130</v>
      </c>
      <c r="F437" s="1" t="s">
        <v>3131</v>
      </c>
      <c r="G437" s="1" t="s">
        <v>22</v>
      </c>
      <c r="H437" s="1" t="s">
        <v>3132</v>
      </c>
      <c r="I437" s="3" t="b">
        <f aca="false">FALSE()</f>
        <v>0</v>
      </c>
      <c r="J437" s="1" t="s">
        <v>3133</v>
      </c>
      <c r="K437" s="1" t="s">
        <v>126</v>
      </c>
      <c r="L437" s="1" t="s">
        <v>892</v>
      </c>
      <c r="M437" s="1" t="s">
        <v>3134</v>
      </c>
      <c r="N437" s="1" t="s">
        <v>3135</v>
      </c>
      <c r="O437" s="1" t="s">
        <v>3136</v>
      </c>
      <c r="P437" s="1" t="s">
        <v>181</v>
      </c>
      <c r="Q437" s="1" t="s">
        <v>3137</v>
      </c>
    </row>
    <row r="438" customFormat="false" ht="12.8" hidden="false" customHeight="false" outlineLevel="0" collapsed="false">
      <c r="A438" s="1" t="s">
        <v>17</v>
      </c>
      <c r="B438" s="1" t="s">
        <v>2463</v>
      </c>
      <c r="C438" s="1" t="s">
        <v>19</v>
      </c>
      <c r="D438" s="1" t="s">
        <v>3138</v>
      </c>
      <c r="E438" s="1" t="s">
        <v>3138</v>
      </c>
      <c r="F438" s="1" t="s">
        <v>3139</v>
      </c>
      <c r="G438" s="1" t="s">
        <v>22</v>
      </c>
      <c r="H438" s="1" t="s">
        <v>3140</v>
      </c>
      <c r="I438" s="3" t="b">
        <f aca="false">FALSE()</f>
        <v>0</v>
      </c>
      <c r="J438" s="1" t="s">
        <v>3141</v>
      </c>
      <c r="K438" s="1" t="s">
        <v>25</v>
      </c>
      <c r="L438" s="1" t="s">
        <v>1855</v>
      </c>
      <c r="M438" s="1" t="s">
        <v>3142</v>
      </c>
      <c r="N438" s="1" t="s">
        <v>895</v>
      </c>
      <c r="O438" s="1" t="s">
        <v>571</v>
      </c>
      <c r="P438" s="1" t="s">
        <v>601</v>
      </c>
      <c r="Q438" s="1" t="s">
        <v>3143</v>
      </c>
    </row>
  </sheetData>
  <autoFilter ref="A1:Q43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242"/>
  <sheetViews>
    <sheetView showFormulas="false" showGridLines="true" showRowColHeaders="true" showZeros="true" rightToLeft="false" tabSelected="false" showOutlineSymbols="true" defaultGridColor="true" view="normal" topLeftCell="A124" colorId="64" zoomScale="100" zoomScaleNormal="100" zoomScalePageLayoutView="100" workbookViewId="0">
      <selection pane="topLeft" activeCell="A17" activeCellId="0" sqref="A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57"/>
    <col collapsed="false" customWidth="true" hidden="false" outlineLevel="0" max="2" min="2" style="1" width="17.98"/>
    <col collapsed="false" customWidth="true" hidden="false" outlineLevel="0" max="3" min="3" style="1" width="15.62"/>
    <col collapsed="false" customWidth="true" hidden="false" outlineLevel="0" max="4" min="4" style="1" width="108.9"/>
    <col collapsed="false" customWidth="true" hidden="false" outlineLevel="0" max="5" min="5" style="1" width="99.49"/>
    <col collapsed="false" customWidth="true" hidden="false" outlineLevel="0" max="6" min="6" style="1" width="28.93"/>
  </cols>
  <sheetData>
    <row r="1" customFormat="false" ht="12.8" hidden="false" customHeight="false" outlineLevel="0" collapsed="false">
      <c r="A1" s="4" t="s">
        <v>3144</v>
      </c>
      <c r="B1" s="4" t="s">
        <v>3145</v>
      </c>
      <c r="C1" s="4" t="s">
        <v>3146</v>
      </c>
      <c r="D1" s="4" t="s">
        <v>3147</v>
      </c>
      <c r="E1" s="4" t="s">
        <v>3148</v>
      </c>
      <c r="F1" s="4" t="s">
        <v>3149</v>
      </c>
    </row>
    <row r="2" customFormat="false" ht="12.8" hidden="false" customHeight="false" outlineLevel="0" collapsed="false">
      <c r="A2" s="1" t="s">
        <v>2662</v>
      </c>
      <c r="B2" s="3" t="b">
        <f aca="false">ISNUMBER(MATCH(A2,Inventario!D:D, 0))</f>
        <v>1</v>
      </c>
      <c r="C2" s="1" t="str">
        <f aca="false">IFERROR(INDEX(Inventario!O:O, MATCH(A2,Inventario!D:D, 0)), "")</f>
        <v>1.3.3</v>
      </c>
      <c r="D2" s="5" t="str">
        <f aca="false">IFERROR(INDEX(Inventario!M:M, MATCH(A2, Inventario!D:D, 0)), "")</f>
        <v>http://repos.bancsabadell.com/bitbucket/scm/P4CP/ms-baas-consumer-loan-v1.git</v>
      </c>
      <c r="E2" s="1" t="str">
        <f aca="false">SUBSTITUTE(D2, ".git", "-conf/browse")</f>
        <v>http://repos.bancsabadell.com/bitbucket/scm/P4CP/ms-baas-consumer-loan-v1-conf/browse</v>
      </c>
      <c r="F2" s="1" t="str">
        <f aca="false">CONCATENATE("release/",C2)</f>
        <v>release/1.3.3</v>
      </c>
    </row>
    <row r="3" customFormat="false" ht="12.8" hidden="false" customHeight="false" outlineLevel="0" collapsed="false">
      <c r="A3" s="1" t="s">
        <v>951</v>
      </c>
      <c r="B3" s="1" t="n">
        <f aca="false">ISNUMBER(MATCH(A3,Inventario!D:D, 0))</f>
        <v>1</v>
      </c>
      <c r="C3" s="1" t="str">
        <f aca="false">IFERROR(INDEX(Inventario!O:O, MATCH(A3,Inventario!D:D, 0)), "")</f>
        <v>1.0.7</v>
      </c>
      <c r="D3" s="5" t="str">
        <f aca="false">IFERROR(INDEX(Inventario!M:M, MATCH(A3, Inventario!D:D, 0)), "")</f>
        <v>http://repos.bancsabadell.com/bitbucket/scm/p4cp/ms-batch-sinfonia-processor.git</v>
      </c>
      <c r="E3" s="1" t="str">
        <f aca="false">SUBSTITUTE(D3, ".git", "-conf/browse")</f>
        <v>http://repos.bancsabadell.com/bitbucket/scm/p4cp/ms-batch-sinfonia-processor-conf/browse</v>
      </c>
      <c r="F3" s="1" t="str">
        <f aca="false">CONCATENATE("release/",C3)</f>
        <v>release/1.0.7</v>
      </c>
    </row>
    <row r="4" customFormat="false" ht="12.8" hidden="false" customHeight="false" outlineLevel="0" collapsed="false">
      <c r="A4" s="1" t="s">
        <v>2837</v>
      </c>
      <c r="B4" s="1" t="n">
        <f aca="false">ISNUMBER(MATCH(A4,Inventario!D:D, 0))</f>
        <v>1</v>
      </c>
      <c r="C4" s="1" t="str">
        <f aca="false">IFERROR(INDEX(Inventario!O:O, MATCH(A4,Inventario!D:D, 0)), "")</f>
        <v>1.1.4</v>
      </c>
      <c r="D4" s="5" t="str">
        <f aca="false">IFERROR(INDEX(Inventario!M:M, MATCH(A4, Inventario!D:D, 0)), "")</f>
        <v>http://repos.bancsabadell.com/bitbucket/scm/P4CP/ms-baas-mortgage-loan-v1.git</v>
      </c>
      <c r="E4" s="1" t="str">
        <f aca="false">SUBSTITUTE(D4, ".git", "-conf/browse")</f>
        <v>http://repos.bancsabadell.com/bitbucket/scm/P4CP/ms-baas-mortgage-loan-v1-conf/browse</v>
      </c>
      <c r="F4" s="1" t="str">
        <f aca="false">CONCATENATE("release/",C4)</f>
        <v>release/1.1.4</v>
      </c>
    </row>
    <row r="5" customFormat="false" ht="12.8" hidden="false" customHeight="false" outlineLevel="0" collapsed="false">
      <c r="A5" s="1" t="s">
        <v>2544</v>
      </c>
      <c r="B5" s="1" t="n">
        <f aca="false">ISNUMBER(MATCH(A5,Inventario!D:D, 0))</f>
        <v>1</v>
      </c>
      <c r="C5" s="1" t="str">
        <f aca="false">IFERROR(INDEX(Inventario!O:O, MATCH(A5,Inventario!D:D, 0)), "")</f>
        <v>0.8.19</v>
      </c>
      <c r="D5" s="5" t="str">
        <f aca="false">IFERROR(INDEX(Inventario!M:M, MATCH(A5, Inventario!D:D, 0)), "")</f>
        <v>http://repos.bancsabadell.com/bitbucket/scm/JUST_RAROC/ms-baas-special-pricing-conditions.git</v>
      </c>
      <c r="E5" s="1" t="str">
        <f aca="false">SUBSTITUTE(D5, ".git", "-conf/browse")</f>
        <v>http://repos.bancsabadell.com/bitbucket/scm/JUST_RAROC/ms-baas-special-pricing-conditions-conf/browse</v>
      </c>
      <c r="F5" s="1" t="str">
        <f aca="false">CONCATENATE("release/",C5)</f>
        <v>release/0.8.19</v>
      </c>
    </row>
    <row r="6" customFormat="false" ht="12.8" hidden="false" customHeight="false" outlineLevel="0" collapsed="false">
      <c r="A6" s="1" t="s">
        <v>2708</v>
      </c>
      <c r="B6" s="1" t="n">
        <f aca="false">ISNUMBER(MATCH(A6,Inventario!D:D, 0))</f>
        <v>1</v>
      </c>
      <c r="C6" s="1" t="str">
        <f aca="false">IFERROR(INDEX(Inventario!O:O, MATCH(A6,Inventario!D:D, 0)), "")</f>
        <v>1.0.6</v>
      </c>
      <c r="D6" s="5" t="str">
        <f aca="false">IFERROR(INDEX(Inventario!M:M, MATCH(A6, Inventario!D:D, 0)), "")</f>
        <v>http://repos.bancsabadell.com/bitbucket/scm/P4CP/ms-baas-credit-facility-online-pr.git</v>
      </c>
      <c r="E6" s="1" t="str">
        <f aca="false">SUBSTITUTE(D6, ".git", "-conf/browse")</f>
        <v>http://repos.bancsabadell.com/bitbucket/scm/P4CP/ms-baas-credit-facility-online-pr-conf/browse</v>
      </c>
      <c r="F6" s="1" t="str">
        <f aca="false">CONCATENATE("release/",C6)</f>
        <v>release/1.0.6</v>
      </c>
    </row>
    <row r="7" customFormat="false" ht="12.8" hidden="false" customHeight="false" outlineLevel="0" collapsed="false">
      <c r="A7" s="1" t="s">
        <v>2386</v>
      </c>
      <c r="B7" s="1" t="n">
        <f aca="false">ISNUMBER(MATCH(A7,Inventario!D:D, 0))</f>
        <v>1</v>
      </c>
      <c r="C7" s="1" t="str">
        <f aca="false">IFERROR(INDEX(Inventario!O:O, MATCH(A7,Inventario!D:D, 0)), "")</f>
        <v>1.0.2</v>
      </c>
      <c r="D7" s="5" t="str">
        <f aca="false">IFERROR(INDEX(Inventario!M:M, MATCH(A7, Inventario!D:D, 0)), "")</f>
        <v>http://repos.bancsabadell.com/bitbucket/scm/P4CP/ms-sys-credit-facility-online-pr.git</v>
      </c>
      <c r="E7" s="1" t="str">
        <f aca="false">SUBSTITUTE(D7, ".git", "-conf/browse")</f>
        <v>http://repos.bancsabadell.com/bitbucket/scm/P4CP/ms-sys-credit-facility-online-pr-conf/browse</v>
      </c>
      <c r="F7" s="1" t="str">
        <f aca="false">CONCATENATE("release/",C7)</f>
        <v>release/1.0.2</v>
      </c>
    </row>
    <row r="8" customFormat="false" ht="12.8" hidden="false" customHeight="false" outlineLevel="0" collapsed="false">
      <c r="A8" s="1" t="s">
        <v>2682</v>
      </c>
      <c r="B8" s="1" t="n">
        <f aca="false">ISNUMBER(MATCH(A8,Inventario!D:D, 0))</f>
        <v>1</v>
      </c>
      <c r="C8" s="1" t="str">
        <f aca="false">IFERROR(INDEX(Inventario!O:O, MATCH(A8,Inventario!D:D, 0)), "")</f>
        <v>1.0.6</v>
      </c>
      <c r="D8" s="5" t="str">
        <f aca="false">IFERROR(INDEX(Inventario!M:M, MATCH(A8, Inventario!D:D, 0)), "")</f>
        <v>http://repos.bancsabadell.com/bitbucket/scm/p4cp/ms-baas-scf-packaging.git</v>
      </c>
      <c r="E8" s="1" t="str">
        <f aca="false">SUBSTITUTE(D8, ".git", "-conf/browse")</f>
        <v>http://repos.bancsabadell.com/bitbucket/scm/p4cp/ms-baas-scf-packaging-conf/browse</v>
      </c>
      <c r="F8" s="1" t="str">
        <f aca="false">CONCATENATE("release/",C8)</f>
        <v>release/1.0.6</v>
      </c>
    </row>
    <row r="9" customFormat="false" ht="12.8" hidden="false" customHeight="false" outlineLevel="0" collapsed="false">
      <c r="A9" s="1" t="s">
        <v>2297</v>
      </c>
      <c r="B9" s="1" t="n">
        <f aca="false">ISNUMBER(MATCH(A9,Inventario!D:D, 0))</f>
        <v>1</v>
      </c>
      <c r="C9" s="1" t="str">
        <f aca="false">IFERROR(INDEX(Inventario!O:O, MATCH(A9,Inventario!D:D, 0)), "")</f>
        <v>1.0.2</v>
      </c>
      <c r="D9" s="5" t="str">
        <f aca="false">IFERROR(INDEX(Inventario!M:M, MATCH(A9, Inventario!D:D, 0)), "")</f>
        <v>http://repos.bancsabadell.com/bitbucket/scm/P4CP/ms-sys-card-terminal-operation-ps.git</v>
      </c>
      <c r="E9" s="1" t="str">
        <f aca="false">SUBSTITUTE(D9, ".git", "-conf/browse")</f>
        <v>http://repos.bancsabadell.com/bitbucket/scm/P4CP/ms-sys-card-terminal-operation-ps-conf/browse</v>
      </c>
      <c r="F9" s="1" t="str">
        <f aca="false">CONCATENATE("release/",C9)</f>
        <v>release/1.0.2</v>
      </c>
    </row>
    <row r="10" customFormat="false" ht="12.8" hidden="false" customHeight="false" outlineLevel="0" collapsed="false">
      <c r="A10" s="1" t="s">
        <v>2160</v>
      </c>
      <c r="B10" s="1" t="n">
        <f aca="false">ISNUMBER(MATCH(A10,Inventario!D:D, 0))</f>
        <v>1</v>
      </c>
      <c r="C10" s="1" t="str">
        <f aca="false">IFERROR(INDEX(Inventario!O:O, MATCH(A10,Inventario!D:D, 0)), "")</f>
        <v>1.0.2</v>
      </c>
      <c r="D10" s="5" t="str">
        <f aca="false">IFERROR(INDEX(Inventario!M:M, MATCH(A10, Inventario!D:D, 0)), "")</f>
        <v>http://repos.bancsabadell.com/bitbucket/scm/P4CP/ms-sys-customer-campaign-execution-system-kx.git</v>
      </c>
      <c r="E10" s="1" t="str">
        <f aca="false">SUBSTITUTE(D10, ".git", "-conf/browse")</f>
        <v>http://repos.bancsabadell.com/bitbucket/scm/P4CP/ms-sys-customer-campaign-execution-system-kx-conf/browse</v>
      </c>
      <c r="F10" s="1" t="str">
        <f aca="false">CONCATENATE("release/",C10)</f>
        <v>release/1.0.2</v>
      </c>
    </row>
    <row r="11" customFormat="false" ht="12.8" hidden="false" customHeight="false" outlineLevel="0" collapsed="false">
      <c r="A11" s="1" t="s">
        <v>2471</v>
      </c>
      <c r="B11" s="1" t="n">
        <f aca="false">ISNUMBER(MATCH(A11,Inventario!D:D, 0))</f>
        <v>1</v>
      </c>
      <c r="C11" s="1" t="str">
        <f aca="false">IFERROR(INDEX(Inventario!O:O, MATCH(A11,Inventario!D:D, 0)), "")</f>
        <v>1.0.6</v>
      </c>
      <c r="D11" s="5" t="str">
        <f aca="false">IFERROR(INDEX(Inventario!M:M, MATCH(A11, Inventario!D:D, 0)), "")</f>
        <v>http://repos.bancsabadell.com/bitbucket/scm/P4cp/ms-baas-factoring-v1.git</v>
      </c>
      <c r="E11" s="1" t="str">
        <f aca="false">SUBSTITUTE(D11, ".git", "-conf/browse")</f>
        <v>http://repos.bancsabadell.com/bitbucket/scm/P4cp/ms-baas-factoring-v1-conf/browse</v>
      </c>
      <c r="F11" s="1" t="str">
        <f aca="false">CONCATENATE("release/",C11)</f>
        <v>release/1.0.6</v>
      </c>
    </row>
    <row r="12" customFormat="false" ht="12.8" hidden="false" customHeight="false" outlineLevel="0" collapsed="false">
      <c r="A12" s="1" t="s">
        <v>1192</v>
      </c>
      <c r="B12" s="1" t="n">
        <f aca="false">ISNUMBER(MATCH(A12,Inventario!D:D, 0))</f>
        <v>1</v>
      </c>
      <c r="C12" s="1" t="str">
        <f aca="false">IFERROR(INDEX(Inventario!O:O, MATCH(A12,Inventario!D:D, 0)), "")</f>
        <v>1.0.6</v>
      </c>
      <c r="D12" s="5" t="str">
        <f aca="false">IFERROR(INDEX(Inventario!M:M, MATCH(A12, Inventario!D:D, 0)), "")</f>
        <v>http://repos.bancsabadell.com/bitbucket/scm/P4cp/ms-sys-factoring-system-fa-v1.git</v>
      </c>
      <c r="E12" s="1" t="str">
        <f aca="false">SUBSTITUTE(D12, ".git", "-conf/browse")</f>
        <v>http://repos.bancsabadell.com/bitbucket/scm/P4cp/ms-sys-factoring-system-fa-v1-conf/browse</v>
      </c>
      <c r="F12" s="1" t="str">
        <f aca="false">CONCATENATE("release/",C12)</f>
        <v>release/1.0.6</v>
      </c>
    </row>
    <row r="13" customFormat="false" ht="12.8" hidden="false" customHeight="false" outlineLevel="0" collapsed="false">
      <c r="A13" s="1" t="s">
        <v>2879</v>
      </c>
      <c r="B13" s="1" t="n">
        <f aca="false">ISNUMBER(MATCH(A13,Inventario!D:D, 0))</f>
        <v>1</v>
      </c>
      <c r="C13" s="1" t="str">
        <f aca="false">IFERROR(INDEX(Inventario!O:O, MATCH(A13,Inventario!D:D, 0)), "")</f>
        <v>1.0.4</v>
      </c>
      <c r="D13" s="5" t="str">
        <f aca="false">IFERROR(INDEX(Inventario!M:M, MATCH(A13, Inventario!D:D, 0)), "")</f>
        <v>http://repos.bancsabadell.com/bitbucket/scm/P4CP/ms-baas-confirming-v1.git</v>
      </c>
      <c r="E13" s="1" t="str">
        <f aca="false">SUBSTITUTE(D13, ".git", "-conf/browse")</f>
        <v>http://repos.bancsabadell.com/bitbucket/scm/P4CP/ms-baas-confirming-v1-conf/browse</v>
      </c>
      <c r="F13" s="1" t="str">
        <f aca="false">CONCATENATE("release/",C13)</f>
        <v>release/1.0.4</v>
      </c>
    </row>
    <row r="14" customFormat="false" ht="12.8" hidden="false" customHeight="false" outlineLevel="0" collapsed="false">
      <c r="A14" s="1" t="s">
        <v>1470</v>
      </c>
      <c r="B14" s="1" t="n">
        <f aca="false">ISNUMBER(MATCH(A14,Inventario!D:D, 0))</f>
        <v>1</v>
      </c>
      <c r="C14" s="1" t="str">
        <f aca="false">IFERROR(INDEX(Inventario!O:O, MATCH(A14,Inventario!D:D, 0)), "")</f>
        <v>1.0.8</v>
      </c>
      <c r="D14" s="5" t="str">
        <f aca="false">IFERROR(INDEX(Inventario!M:M, MATCH(A14, Inventario!D:D, 0)), "")</f>
        <v>http://repos.bancsabadell.com/bitbucket/scm/p4cp/ms-sys-confirming-kf-v1.git</v>
      </c>
      <c r="E14" s="1" t="str">
        <f aca="false">SUBSTITUTE(D14, ".git", "-conf/browse")</f>
        <v>http://repos.bancsabadell.com/bitbucket/scm/p4cp/ms-sys-confirming-kf-v1-conf/browse</v>
      </c>
      <c r="F14" s="1" t="str">
        <f aca="false">CONCATENATE("release/",C14)</f>
        <v>release/1.0.8</v>
      </c>
    </row>
    <row r="15" customFormat="false" ht="12.8" hidden="false" customHeight="false" outlineLevel="0" collapsed="false">
      <c r="A15" s="1" t="s">
        <v>1596</v>
      </c>
      <c r="B15" s="1" t="n">
        <f aca="false">ISNUMBER(MATCH(A15,Inventario!D:D, 0))</f>
        <v>1</v>
      </c>
      <c r="C15" s="1" t="str">
        <f aca="false">IFERROR(INDEX(Inventario!O:O, MATCH(A15,Inventario!D:D, 0)), "")</f>
        <v>1.1.0</v>
      </c>
      <c r="D15" s="5" t="str">
        <f aca="false">IFERROR(INDEX(Inventario!M:M, MATCH(A15, Inventario!D:D, 0)), "")</f>
        <v>http://repos.bancsabadell.com/bitbucket/scm/P4CP/ms-sys-xy-common-data.git</v>
      </c>
      <c r="E15" s="1" t="str">
        <f aca="false">SUBSTITUTE(D15, ".git", "-conf/browse")</f>
        <v>http://repos.bancsabadell.com/bitbucket/scm/P4CP/ms-sys-xy-common-data-conf/browse</v>
      </c>
      <c r="F15" s="1" t="str">
        <f aca="false">CONCATENATE("release/",C15)</f>
        <v>release/1.1.0</v>
      </c>
    </row>
    <row r="16" customFormat="false" ht="12.8" hidden="false" customHeight="false" outlineLevel="0" collapsed="false">
      <c r="A16" s="1" t="s">
        <v>1638</v>
      </c>
      <c r="B16" s="1" t="n">
        <f aca="false">ISNUMBER(MATCH(A16,Inventario!D:D, 0))</f>
        <v>1</v>
      </c>
      <c r="C16" s="1" t="str">
        <f aca="false">IFERROR(INDEX(Inventario!O:O, MATCH(A16,Inventario!D:D, 0)), "")</f>
        <v>1.0.6</v>
      </c>
      <c r="D16" s="5" t="str">
        <f aca="false">IFERROR(INDEX(Inventario!M:M, MATCH(A16, Inventario!D:D, 0)), "")</f>
        <v>http://repos.bancsabadell.com/bitbucket/scm/P4CP/ms-sys-consumer-loan-system-pr.git</v>
      </c>
      <c r="E16" s="1" t="str">
        <f aca="false">SUBSTITUTE(D16, ".git", "-conf/browse")</f>
        <v>http://repos.bancsabadell.com/bitbucket/scm/P4CP/ms-sys-consumer-loan-system-pr-conf/browse</v>
      </c>
      <c r="F16" s="1" t="str">
        <f aca="false">CONCATENATE("release/",C16)</f>
        <v>release/1.0.6</v>
      </c>
    </row>
    <row r="17" customFormat="false" ht="12.8" hidden="false" customHeight="false" outlineLevel="0" collapsed="false">
      <c r="A17" s="1" t="s">
        <v>2451</v>
      </c>
      <c r="B17" s="1" t="n">
        <f aca="false">ISNUMBER(MATCH(A17,Inventario!D:D, 0))</f>
        <v>1</v>
      </c>
      <c r="C17" s="1" t="str">
        <f aca="false">IFERROR(INDEX(Inventario!O:O, MATCH(A17,Inventario!D:D, 0)), "")</f>
        <v>1.2.5</v>
      </c>
      <c r="D17" s="5" t="str">
        <f aca="false">IFERROR(INDEX(Inventario!M:M, MATCH(A17, Inventario!D:D, 0)), "")</f>
        <v>http://repos.bancsabadell.com/bitbucket/scm/P4CP/ms-sys-factoring-inblock-v1.git</v>
      </c>
      <c r="E17" s="1" t="str">
        <f aca="false">SUBSTITUTE(D17, ".git", "-conf/browse")</f>
        <v>http://repos.bancsabadell.com/bitbucket/scm/P4CP/ms-sys-factoring-inblock-v1-conf/browse</v>
      </c>
      <c r="F17" s="1" t="str">
        <f aca="false">CONCATENATE("release/",C17)</f>
        <v>release/1.2.5</v>
      </c>
    </row>
    <row r="18" customFormat="false" ht="12.8" hidden="false" customHeight="false" outlineLevel="0" collapsed="false">
      <c r="A18" s="1" t="s">
        <v>979</v>
      </c>
      <c r="B18" s="1" t="n">
        <f aca="false">ISNUMBER(MATCH(A18,Inventario!D:D, 0))</f>
        <v>1</v>
      </c>
      <c r="C18" s="1" t="str">
        <f aca="false">IFERROR(INDEX(Inventario!O:O, MATCH(A18,Inventario!D:D, 0)), "")</f>
        <v>1.0.4</v>
      </c>
      <c r="D18" s="5" t="str">
        <f aca="false">IFERROR(INDEX(Inventario!M:M, MATCH(A18, Inventario!D:D, 0)), "")</f>
        <v>http://repos.bancsabadell.com/bitbucket/scm/P4CP/ms-batch-inblock-upload.git</v>
      </c>
      <c r="E18" s="1" t="str">
        <f aca="false">SUBSTITUTE(D18, ".git", "-conf/browse")</f>
        <v>http://repos.bancsabadell.com/bitbucket/scm/P4CP/ms-batch-inblock-upload-conf/browse</v>
      </c>
      <c r="F18" s="1" t="str">
        <f aca="false">CONCATENATE("release/",C18)</f>
        <v>release/1.0.4</v>
      </c>
    </row>
    <row r="19" customFormat="false" ht="12.8" hidden="false" customHeight="false" outlineLevel="0" collapsed="false">
      <c r="A19" s="1" t="s">
        <v>2799</v>
      </c>
      <c r="B19" s="1" t="n">
        <f aca="false">ISNUMBER(MATCH(A19,Inventario!D:D, 0))</f>
        <v>1</v>
      </c>
      <c r="C19" s="1" t="str">
        <f aca="false">IFERROR(INDEX(Inventario!O:O, MATCH(A19,Inventario!D:D, 0)), "")</f>
        <v>1.3.0</v>
      </c>
      <c r="D19" s="5" t="str">
        <f aca="false">IFERROR(INDEX(Inventario!M:M, MATCH(A19, Inventario!D:D, 0)), "")</f>
        <v>http://repos.bancsabadell.com/bitbucket/scm/P4GC/ms-baas-investment-portfolio-management.git</v>
      </c>
      <c r="E19" s="1" t="str">
        <f aca="false">SUBSTITUTE(D19, ".git", "-conf/browse")</f>
        <v>http://repos.bancsabadell.com/bitbucket/scm/P4GC/ms-baas-investment-portfolio-management-conf/browse</v>
      </c>
      <c r="F19" s="1" t="str">
        <f aca="false">CONCATENATE("release/",C19)</f>
        <v>release/1.3.0</v>
      </c>
    </row>
    <row r="20" customFormat="false" ht="12.8" hidden="false" customHeight="false" outlineLevel="0" collapsed="false">
      <c r="A20" s="1" t="s">
        <v>2204</v>
      </c>
      <c r="B20" s="1" t="n">
        <f aca="false">ISNUMBER(MATCH(A20,Inventario!D:D, 0))</f>
        <v>1</v>
      </c>
      <c r="C20" s="1" t="str">
        <f aca="false">IFERROR(INDEX(Inventario!O:O, MATCH(A20,Inventario!D:D, 0)), "")</f>
        <v>1.3.1</v>
      </c>
      <c r="D20" s="5" t="str">
        <f aca="false">IFERROR(INDEX(Inventario!M:M, MATCH(A20, Inventario!D:D, 0)), "")</f>
        <v>http://repos.bancsabadell.com/bitbucket/scm/P4GC/ms-sys-investment-account.git</v>
      </c>
      <c r="E20" s="1" t="str">
        <f aca="false">SUBSTITUTE(D20, ".git", "-conf/browse")</f>
        <v>http://repos.bancsabadell.com/bitbucket/scm/P4GC/ms-sys-investment-account-conf/browse</v>
      </c>
      <c r="F20" s="1" t="str">
        <f aca="false">CONCATENATE("release/",C20)</f>
        <v>release/1.3.1</v>
      </c>
    </row>
    <row r="21" customFormat="false" ht="12.8" hidden="false" customHeight="false" outlineLevel="0" collapsed="false">
      <c r="A21" s="1" t="s">
        <v>1037</v>
      </c>
      <c r="B21" s="1" t="n">
        <f aca="false">ISNUMBER(MATCH(A21,Inventario!D:D, 0))</f>
        <v>1</v>
      </c>
      <c r="C21" s="1" t="str">
        <f aca="false">IFERROR(INDEX(Inventario!O:O, MATCH(A21,Inventario!D:D, 0)), "")</f>
        <v>1.3.0</v>
      </c>
      <c r="D21" s="5" t="str">
        <f aca="false">IFERROR(INDEX(Inventario!M:M, MATCH(A21, Inventario!D:D, 0)), "")</f>
        <v>http://repos.bancsabadell.com/bitbucket/scm/P4GC/ms-sys-investment-portfolio-planning.git</v>
      </c>
      <c r="E21" s="1" t="str">
        <f aca="false">SUBSTITUTE(D21, ".git", "-conf/browse")</f>
        <v>http://repos.bancsabadell.com/bitbucket/scm/P4GC/ms-sys-investment-portfolio-planning-conf/browse</v>
      </c>
      <c r="F21" s="1" t="str">
        <f aca="false">CONCATENATE("release/",C21)</f>
        <v>release/1.3.0</v>
      </c>
    </row>
    <row r="22" customFormat="false" ht="12.8" hidden="false" customHeight="false" outlineLevel="0" collapsed="false">
      <c r="A22" s="1" t="s">
        <v>1500</v>
      </c>
      <c r="B22" s="1" t="n">
        <f aca="false">ISNUMBER(MATCH(A22,Inventario!D:D, 0))</f>
        <v>1</v>
      </c>
      <c r="C22" s="1" t="str">
        <f aca="false">IFERROR(INDEX(Inventario!O:O, MATCH(A22,Inventario!D:D, 0)), "")</f>
        <v>1.3.1</v>
      </c>
      <c r="D22" s="5" t="str">
        <f aca="false">IFERROR(INDEX(Inventario!M:M, MATCH(A22, Inventario!D:D, 0)), "")</f>
        <v>http://repos.bancsabadell.com/bitbucket/scm/P4GC/ms-sys-investment-portfolio-planning-mifid.git</v>
      </c>
      <c r="E22" s="1" t="str">
        <f aca="false">SUBSTITUTE(D22, ".git", "-conf/browse")</f>
        <v>http://repos.bancsabadell.com/bitbucket/scm/P4GC/ms-sys-investment-portfolio-planning-mifid-conf/browse</v>
      </c>
      <c r="F22" s="1" t="str">
        <f aca="false">CONCATENATE("release/",C22)</f>
        <v>release/1.3.1</v>
      </c>
    </row>
    <row r="23" customFormat="false" ht="12.8" hidden="false" customHeight="false" outlineLevel="0" collapsed="false">
      <c r="A23" s="1" t="s">
        <v>1018</v>
      </c>
      <c r="B23" s="1" t="n">
        <f aca="false">ISNUMBER(MATCH(A23,Inventario!D:D, 0))</f>
        <v>1</v>
      </c>
      <c r="C23" s="1" t="str">
        <f aca="false">IFERROR(INDEX(Inventario!O:O, MATCH(A23,Inventario!D:D, 0)), "")</f>
        <v>1.0.1</v>
      </c>
      <c r="D23" s="5" t="str">
        <f aca="false">IFERROR(INDEX(Inventario!M:M, MATCH(A23, Inventario!D:D, 0)), "")</f>
        <v>http://repos.bancsabadell.com/bitbucket/scm/P4CP/ms-sys-xy-common-data-v2.git</v>
      </c>
      <c r="E23" s="1" t="str">
        <f aca="false">SUBSTITUTE(D23, ".git", "-conf/browse")</f>
        <v>http://repos.bancsabadell.com/bitbucket/scm/P4CP/ms-sys-xy-common-data-v2-conf/browse</v>
      </c>
      <c r="F23" s="1" t="str">
        <f aca="false">CONCATENATE("release/",C23)</f>
        <v>release/1.0.1</v>
      </c>
    </row>
    <row r="24" customFormat="false" ht="12.8" hidden="false" customHeight="false" outlineLevel="0" collapsed="false">
      <c r="A24" s="1" t="s">
        <v>691</v>
      </c>
      <c r="B24" s="1" t="n">
        <f aca="false">ISNUMBER(MATCH(A24,Inventario!D:D, 0))</f>
        <v>1</v>
      </c>
      <c r="C24" s="1" t="str">
        <f aca="false">IFERROR(INDEX(Inventario!O:O, MATCH(A24,Inventario!D:D, 0)), "")</f>
        <v>1.4.1</v>
      </c>
      <c r="D24" s="5" t="str">
        <f aca="false">IFERROR(INDEX(Inventario!M:M, MATCH(A24, Inventario!D:D, 0)), "")</f>
        <v>https://bitbucket.apps.devops.aws.bancsabadell.com/scm/p4des/ms-infra-document-manager.git</v>
      </c>
      <c r="E24" s="1" t="str">
        <f aca="false">SUBSTITUTE(D24, ".git", "-conf/browse")</f>
        <v>https://bitbucket.apps.devops.aws.bancsabadell.com/scm/p4des/ms-infra-document-manager-conf/browse</v>
      </c>
      <c r="F24" s="1" t="str">
        <f aca="false">CONCATENATE("release/",C24)</f>
        <v>release/1.4.1</v>
      </c>
    </row>
    <row r="25" customFormat="false" ht="12.8" hidden="false" customHeight="false" outlineLevel="0" collapsed="false">
      <c r="A25" s="1" t="s">
        <v>1980</v>
      </c>
      <c r="B25" s="1" t="n">
        <f aca="false">ISNUMBER(MATCH(A25,Inventario!D:D, 0))</f>
        <v>1</v>
      </c>
      <c r="C25" s="1" t="str">
        <f aca="false">IFERROR(INDEX(Inventario!O:O, MATCH(A25,Inventario!D:D, 0)), "")</f>
        <v>1.1.0</v>
      </c>
      <c r="D25" s="5" t="str">
        <f aca="false">IFERROR(INDEX(Inventario!M:M, MATCH(A25, Inventario!D:D, 0)), "")</f>
        <v>https://bitbucket.apps.devops.aws.bancsabadell.com/scm/P4DES/ms-sys-transaction-authorization.git</v>
      </c>
      <c r="E25" s="1" t="str">
        <f aca="false">SUBSTITUTE(D25, ".git", "-conf/browse")</f>
        <v>https://bitbucket.apps.devops.aws.bancsabadell.com/scm/P4DES/ms-sys-transaction-authorization-conf/browse</v>
      </c>
      <c r="F25" s="1" t="str">
        <f aca="false">CONCATENATE("release/",C25)</f>
        <v>release/1.1.0</v>
      </c>
    </row>
    <row r="26" customFormat="false" ht="12.8" hidden="false" customHeight="false" outlineLevel="0" collapsed="false">
      <c r="A26" s="1" t="s">
        <v>2977</v>
      </c>
      <c r="B26" s="1" t="n">
        <f aca="false">ISNUMBER(MATCH(A26,Inventario!D:D, 0))</f>
        <v>1</v>
      </c>
      <c r="C26" s="1" t="str">
        <f aca="false">IFERROR(INDEX(Inventario!O:O, MATCH(A26,Inventario!D:D, 0)), "")</f>
        <v>0.1.0</v>
      </c>
      <c r="D26" s="5" t="str">
        <f aca="false">IFERROR(INDEX(Inventario!M:M, MATCH(A26, Inventario!D:D, 0)), "")</f>
        <v>https://bitbucket.apps.devops.aws.bancsabadell.com/scm/P4DES/ms-baas-issued-device-administration.git</v>
      </c>
      <c r="E26" s="1" t="str">
        <f aca="false">SUBSTITUTE(D26, ".git", "-conf/browse")</f>
        <v>https://bitbucket.apps.devops.aws.bancsabadell.com/scm/P4DES/ms-baas-issued-device-administration-conf/browse</v>
      </c>
      <c r="F26" s="1" t="str">
        <f aca="false">CONCATENATE("release/",C26)</f>
        <v>release/0.1.0</v>
      </c>
    </row>
    <row r="27" customFormat="false" ht="12.8" hidden="false" customHeight="false" outlineLevel="0" collapsed="false">
      <c r="A27" s="1" t="s">
        <v>826</v>
      </c>
      <c r="B27" s="1" t="n">
        <f aca="false">ISNUMBER(MATCH(A27,Inventario!D:D, 0))</f>
        <v>1</v>
      </c>
      <c r="C27" s="1" t="str">
        <f aca="false">IFERROR(INDEX(Inventario!O:O, MATCH(A27,Inventario!D:D, 0)), "")</f>
        <v>1.3.7</v>
      </c>
      <c r="D27" s="5" t="str">
        <f aca="false">IFERROR(INDEX(Inventario!M:M, MATCH(A27, Inventario!D:D, 0)), "")</f>
        <v>https://bitbucket.apps.devops.aws.bancsabadell.com/scm/PP4SEC/ms-infra-bot-idp.git</v>
      </c>
      <c r="E27" s="1" t="str">
        <f aca="false">SUBSTITUTE(D27, ".git", "-conf/browse")</f>
        <v>https://bitbucket.apps.devops.aws.bancsabadell.com/scm/PP4SEC/ms-infra-bot-idp-conf/browse</v>
      </c>
      <c r="F27" s="1" t="str">
        <f aca="false">CONCATENATE("release/",C27)</f>
        <v>release/1.3.7</v>
      </c>
    </row>
    <row r="28" customFormat="false" ht="12.8" hidden="false" customHeight="false" outlineLevel="0" collapsed="false">
      <c r="A28" s="1" t="s">
        <v>2263</v>
      </c>
      <c r="B28" s="1" t="n">
        <f aca="false">ISNUMBER(MATCH(A28,Inventario!D:D, 0))</f>
        <v>1</v>
      </c>
      <c r="C28" s="1" t="str">
        <f aca="false">IFERROR(INDEX(Inventario!O:O, MATCH(A28,Inventario!D:D, 0)), "")</f>
        <v>1.0.1</v>
      </c>
      <c r="D28" s="5" t="str">
        <f aca="false">IFERROR(INDEX(Inventario!M:M, MATCH(A28, Inventario!D:D, 0)), "")</f>
        <v>http://repos.bancsabadell.com/bitbucket/scm/P4CP/ms-sys-customer-offer-sv-v1.git</v>
      </c>
      <c r="E28" s="1" t="str">
        <f aca="false">SUBSTITUTE(D28, ".git", "-conf/browse")</f>
        <v>http://repos.bancsabadell.com/bitbucket/scm/P4CP/ms-sys-customer-offer-sv-v1-conf/browse</v>
      </c>
      <c r="F28" s="1" t="str">
        <f aca="false">CONCATENATE("release/",C28)</f>
        <v>release/1.0.1</v>
      </c>
    </row>
    <row r="29" customFormat="false" ht="12.8" hidden="false" customHeight="false" outlineLevel="0" collapsed="false">
      <c r="A29" s="1" t="s">
        <v>1615</v>
      </c>
      <c r="B29" s="1" t="n">
        <f aca="false">ISNUMBER(MATCH(A29,Inventario!D:D, 0))</f>
        <v>1</v>
      </c>
      <c r="C29" s="1" t="str">
        <f aca="false">IFERROR(INDEX(Inventario!O:O, MATCH(A29,Inventario!D:D, 0)), "")</f>
        <v>2.1.0</v>
      </c>
      <c r="D29" s="5" t="str">
        <f aca="false">IFERROR(INDEX(Inventario!M:M, MATCH(A29, Inventario!D:D, 0)), "")</f>
        <v>http://repos.bancsabadell.com/bitbucket/scm/ENDPOINTSERVICENOWMENUDESA/ms-sys-servicenow-menudesa.git</v>
      </c>
      <c r="E29" s="1" t="str">
        <f aca="false">SUBSTITUTE(D29, ".git", "-conf/browse")</f>
        <v>http://repos.bancsabadell.com/bitbucket/scm/ENDPOINTSERVICENOWMENUDESA/ms-sys-servicenow-menudesa-conf/browse</v>
      </c>
      <c r="F29" s="1" t="str">
        <f aca="false">CONCATENATE("release/",C29)</f>
        <v>release/2.1.0</v>
      </c>
    </row>
    <row r="30" customFormat="false" ht="12.8" hidden="false" customHeight="false" outlineLevel="0" collapsed="false">
      <c r="A30" s="1" t="s">
        <v>3109</v>
      </c>
      <c r="B30" s="1" t="n">
        <f aca="false">ISNUMBER(MATCH(A30,Inventario!D:D, 0))</f>
        <v>1</v>
      </c>
      <c r="C30" s="1" t="str">
        <f aca="false">IFERROR(INDEX(Inventario!O:O, MATCH(A30,Inventario!D:D, 0)), "")</f>
        <v>0.1.30</v>
      </c>
      <c r="D30" s="5" t="str">
        <f aca="false">IFERROR(INDEX(Inventario!M:M, MATCH(A30, Inventario!D:D, 0)), "")</f>
        <v>http://repos.bancsabadell.com/bitbucket/scm/DV/ms-baas-position-keeping.git</v>
      </c>
      <c r="E30" s="1" t="str">
        <f aca="false">SUBSTITUTE(D30, ".git", "-conf/browse")</f>
        <v>http://repos.bancsabadell.com/bitbucket/scm/DV/ms-baas-position-keeping-conf/browse</v>
      </c>
      <c r="F30" s="1" t="str">
        <f aca="false">CONCATENATE("release/",C30)</f>
        <v>release/0.1.30</v>
      </c>
    </row>
    <row r="31" customFormat="false" ht="12.8" hidden="false" customHeight="false" outlineLevel="0" collapsed="false">
      <c r="A31" s="1" t="s">
        <v>1094</v>
      </c>
      <c r="B31" s="1" t="n">
        <f aca="false">ISNUMBER(MATCH(A31,Inventario!D:D, 0))</f>
        <v>1</v>
      </c>
      <c r="C31" s="1" t="str">
        <f aca="false">IFERROR(INDEX(Inventario!O:O, MATCH(A31,Inventario!D:D, 0)), "")</f>
        <v>1.2.14</v>
      </c>
      <c r="D31" s="5" t="str">
        <f aca="false">IFERROR(INDEX(Inventario!M:M, MATCH(A31, Inventario!D:D, 0)), "")</f>
        <v>http://repos.bancsabadell.com/bitbucket/scm/P4CP/ms-sys-card-position-keeping-extended-v1.git</v>
      </c>
      <c r="E31" s="1" t="str">
        <f aca="false">SUBSTITUTE(D31, ".git", "-conf/browse")</f>
        <v>http://repos.bancsabadell.com/bitbucket/scm/P4CP/ms-sys-card-position-keeping-extended-v1-conf/browse</v>
      </c>
      <c r="F31" s="1" t="str">
        <f aca="false">CONCATENATE("release/",C31)</f>
        <v>release/1.2.14</v>
      </c>
    </row>
    <row r="32" customFormat="false" ht="12.8" hidden="false" customHeight="false" outlineLevel="0" collapsed="false">
      <c r="A32" s="1" t="s">
        <v>2096</v>
      </c>
      <c r="B32" s="1" t="n">
        <f aca="false">ISNUMBER(MATCH(A32,Inventario!D:D, 0))</f>
        <v>1</v>
      </c>
      <c r="C32" s="1" t="str">
        <f aca="false">IFERROR(INDEX(Inventario!O:O, MATCH(A32,Inventario!D:D, 0)), "")</f>
        <v>2.0.2</v>
      </c>
      <c r="D32" s="5" t="str">
        <f aca="false">IFERROR(INDEX(Inventario!M:M, MATCH(A32, Inventario!D:D, 0)), "")</f>
        <v>http://repos.bancsabadell.com/bitbucket/scm/MOBI/ms-sys-payment-initiation-dds-v1.git</v>
      </c>
      <c r="E32" s="1" t="str">
        <f aca="false">SUBSTITUTE(D32, ".git", "-conf/browse")</f>
        <v>http://repos.bancsabadell.com/bitbucket/scm/MOBI/ms-sys-payment-initiation-dds-v1-conf/browse</v>
      </c>
      <c r="F32" s="1" t="str">
        <f aca="false">CONCATENATE("release/",C32)</f>
        <v>release/2.0.2</v>
      </c>
    </row>
    <row r="33" customFormat="false" ht="12.8" hidden="false" customHeight="false" outlineLevel="0" collapsed="false">
      <c r="A33" s="1" t="s">
        <v>1045</v>
      </c>
      <c r="B33" s="1" t="n">
        <f aca="false">ISNUMBER(MATCH(A33,Inventario!D:D, 0))</f>
        <v>1</v>
      </c>
      <c r="C33" s="1" t="str">
        <f aca="false">IFERROR(INDEX(Inventario!O:O, MATCH(A33,Inventario!D:D, 0)), "")</f>
        <v>2.0.0</v>
      </c>
      <c r="D33" s="5" t="str">
        <f aca="false">IFERROR(INDEX(Inventario!M:M, MATCH(A33, Inventario!D:D, 0)), "")</f>
        <v>http://repos.bancsabadell.com/bitbucket/scm/MOBI/ms-sys-position-keeping-extended-v1.git</v>
      </c>
      <c r="E33" s="1" t="str">
        <f aca="false">SUBSTITUTE(D33, ".git", "-conf/browse")</f>
        <v>http://repos.bancsabadell.com/bitbucket/scm/MOBI/ms-sys-position-keeping-extended-v1-conf/browse</v>
      </c>
      <c r="F33" s="1" t="str">
        <f aca="false">CONCATENATE("release/",C33)</f>
        <v>release/2.0.0</v>
      </c>
    </row>
    <row r="34" customFormat="false" ht="12.8" hidden="false" customHeight="false" outlineLevel="0" collapsed="false">
      <c r="A34" s="1" t="s">
        <v>2571</v>
      </c>
      <c r="B34" s="1" t="n">
        <f aca="false">ISNUMBER(MATCH(A34,Inventario!D:D, 0))</f>
        <v>1</v>
      </c>
      <c r="C34" s="1" t="str">
        <f aca="false">IFERROR(INDEX(Inventario!O:O, MATCH(A34,Inventario!D:D, 0)), "")</f>
        <v>1.1.2</v>
      </c>
      <c r="D34" s="5" t="str">
        <f aca="false">IFERROR(INDEX(Inventario!M:M, MATCH(A34, Inventario!D:D, 0)), "")</f>
        <v>http://repos.bancsabadell.com/bitbucket/scm/MOBI/ms-baas-consumer-credit-facility-v1.git</v>
      </c>
      <c r="E34" s="1" t="str">
        <f aca="false">SUBSTITUTE(D34, ".git", "-conf/browse")</f>
        <v>http://repos.bancsabadell.com/bitbucket/scm/MOBI/ms-baas-consumer-credit-facility-v1-conf/browse</v>
      </c>
      <c r="F34" s="1" t="str">
        <f aca="false">CONCATENATE("release/",C34)</f>
        <v>release/1.1.2</v>
      </c>
    </row>
    <row r="35" customFormat="false" ht="12.8" hidden="false" customHeight="false" outlineLevel="0" collapsed="false">
      <c r="A35" s="1" t="s">
        <v>3055</v>
      </c>
      <c r="B35" s="1" t="n">
        <f aca="false">ISNUMBER(MATCH(A35,Inventario!D:D, 0))</f>
        <v>1</v>
      </c>
      <c r="C35" s="1" t="str">
        <f aca="false">IFERROR(INDEX(Inventario!O:O, MATCH(A35,Inventario!D:D, 0)), "")</f>
        <v>2.0.0</v>
      </c>
      <c r="D35" s="5" t="str">
        <f aca="false">IFERROR(INDEX(Inventario!M:M, MATCH(A35, Inventario!D:D, 0)), "")</f>
        <v>http://repos.bancsabadell.com/bitbucket/scm/MOBI/ms-baas-position-keeping-extended-v1.git</v>
      </c>
      <c r="E35" s="1" t="str">
        <f aca="false">SUBSTITUTE(D35, ".git", "-conf/browse")</f>
        <v>http://repos.bancsabadell.com/bitbucket/scm/MOBI/ms-baas-position-keeping-extended-v1-conf/browse</v>
      </c>
      <c r="F35" s="1" t="str">
        <f aca="false">CONCATENATE("release/",C35)</f>
        <v>release/2.0.0</v>
      </c>
    </row>
    <row r="36" customFormat="false" ht="13.8" hidden="true" customHeight="false" outlineLevel="0" collapsed="false">
      <c r="A36" s="6" t="s">
        <v>3150</v>
      </c>
      <c r="B36" s="1" t="n">
        <f aca="false">ISNUMBER(MATCH(A36,Inventario!D:D, 0))</f>
        <v>0</v>
      </c>
      <c r="C36" s="1" t="str">
        <f aca="false">IFERROR(INDEX(Inventario!O:O, MATCH(A36,Inventario!D:D, 0)), "")</f>
        <v/>
      </c>
      <c r="D36" s="5" t="str">
        <f aca="false">IFERROR(INDEX(Inventario!M:M, MATCH(A36, Inventario!D:D, 0)), "")</f>
        <v/>
      </c>
      <c r="E36" s="1" t="str">
        <f aca="false">SUBSTITUTE(D36, ".git", "-conf")</f>
        <v/>
      </c>
    </row>
    <row r="37" customFormat="false" ht="12.8" hidden="false" customHeight="false" outlineLevel="0" collapsed="false">
      <c r="A37" s="1" t="s">
        <v>2069</v>
      </c>
      <c r="B37" s="1" t="n">
        <f aca="false">ISNUMBER(MATCH(A37,Inventario!D:D, 0))</f>
        <v>1</v>
      </c>
      <c r="C37" s="1" t="str">
        <f aca="false">IFERROR(INDEX(Inventario!O:O, MATCH(A37,Inventario!D:D, 0)), "")</f>
        <v>1.5.5</v>
      </c>
      <c r="D37" s="5" t="str">
        <f aca="false">IFERROR(INDEX(Inventario!M:M, MATCH(A37, Inventario!D:D, 0)), "")</f>
        <v>https://bitbucket.apps.devops.aws.bancsabadell.com/scm/p4des/ms-sys-notifications.git</v>
      </c>
      <c r="E37" s="1" t="str">
        <f aca="false">SUBSTITUTE(D37, ".git", "-conf/browse")</f>
        <v>https://bitbucket.apps.devops.aws.bancsabadell.com/scm/p4des/ms-sys-notifications-conf/browse</v>
      </c>
      <c r="F37" s="1" t="str">
        <f aca="false">CONCATENATE("release/",C37)</f>
        <v>release/1.5.5</v>
      </c>
    </row>
    <row r="38" customFormat="false" ht="12.8" hidden="false" customHeight="false" outlineLevel="0" collapsed="false">
      <c r="A38" s="1" t="s">
        <v>2013</v>
      </c>
      <c r="B38" s="1" t="n">
        <f aca="false">ISNUMBER(MATCH(A38,Inventario!D:D, 0))</f>
        <v>1</v>
      </c>
      <c r="C38" s="1" t="str">
        <f aca="false">IFERROR(INDEX(Inventario!O:O, MATCH(A38,Inventario!D:D, 0)), "")</f>
        <v>1.0.2</v>
      </c>
      <c r="D38" s="5" t="str">
        <f aca="false">IFERROR(INDEX(Inventario!M:M, MATCH(A38, Inventario!D:D, 0)), "")</f>
        <v>https://bitbucket.apps.devops.aws.bancsabadell.com/scm/p4des/ms-sys-notifications-hub-email-sender.git</v>
      </c>
      <c r="E38" s="1" t="str">
        <f aca="false">SUBSTITUTE(D38, ".git", "-conf/browse")</f>
        <v>https://bitbucket.apps.devops.aws.bancsabadell.com/scm/p4des/ms-sys-notifications-hub-email-sender-conf/browse</v>
      </c>
      <c r="F38" s="1" t="str">
        <f aca="false">CONCATENATE("release/",C38)</f>
        <v>release/1.0.2</v>
      </c>
    </row>
    <row r="39" customFormat="false" ht="12.8" hidden="false" customHeight="false" outlineLevel="0" collapsed="false">
      <c r="A39" s="1" t="s">
        <v>2953</v>
      </c>
      <c r="B39" s="1" t="n">
        <f aca="false">ISNUMBER(MATCH(A39,Inventario!D:D, 0))</f>
        <v>1</v>
      </c>
      <c r="C39" s="1" t="str">
        <f aca="false">IFERROR(INDEX(Inventario!O:O, MATCH(A39,Inventario!D:D, 0)), "")</f>
        <v>1.0.6</v>
      </c>
      <c r="D39" s="5" t="str">
        <f aca="false">IFERROR(INDEX(Inventario!M:M, MATCH(A39, Inventario!D:D, 0)), "")</f>
        <v>http://repos.bancsabadell.com/bitbucket/scm/p4cp/ms-baas-correspondence-v2.git</v>
      </c>
      <c r="E39" s="1" t="str">
        <f aca="false">SUBSTITUTE(D39, ".git", "-conf/browse")</f>
        <v>http://repos.bancsabadell.com/bitbucket/scm/p4cp/ms-baas-correspondence-v2-conf/browse</v>
      </c>
      <c r="F39" s="1" t="str">
        <f aca="false">CONCATENATE("release/",C39)</f>
        <v>release/1.0.6</v>
      </c>
    </row>
    <row r="40" customFormat="false" ht="12.8" hidden="false" customHeight="false" outlineLevel="0" collapsed="false">
      <c r="A40" s="1" t="s">
        <v>1826</v>
      </c>
      <c r="B40" s="1" t="n">
        <f aca="false">ISNUMBER(MATCH(A40,Inventario!D:D, 0))</f>
        <v>1</v>
      </c>
      <c r="C40" s="1" t="str">
        <f aca="false">IFERROR(INDEX(Inventario!O:O, MATCH(A40,Inventario!D:D, 0)), "")</f>
        <v>1.0.9</v>
      </c>
      <c r="D40" s="5" t="str">
        <f aca="false">IFERROR(INDEX(Inventario!M:M, MATCH(A40, Inventario!D:D, 0)), "")</f>
        <v>http://repos.bancsabadell.com/bitbucket/scm/p4cp/ms-sys-correspondence-ia.git</v>
      </c>
      <c r="E40" s="1" t="str">
        <f aca="false">SUBSTITUTE(D40, ".git", "-conf/browse")</f>
        <v>http://repos.bancsabadell.com/bitbucket/scm/p4cp/ms-sys-correspondence-ia-conf/browse</v>
      </c>
      <c r="F40" s="1" t="str">
        <f aca="false">CONCATENATE("release/",C40)</f>
        <v>release/1.0.9</v>
      </c>
    </row>
    <row r="41" customFormat="false" ht="12.8" hidden="false" customHeight="false" outlineLevel="0" collapsed="false">
      <c r="A41" s="1" t="s">
        <v>2630</v>
      </c>
      <c r="B41" s="1" t="n">
        <f aca="false">ISNUMBER(MATCH(A41,Inventario!D:D, 0))</f>
        <v>1</v>
      </c>
      <c r="C41" s="1" t="str">
        <f aca="false">IFERROR(INDEX(Inventario!O:O, MATCH(A41,Inventario!D:D, 0)), "")</f>
        <v>1.0.7</v>
      </c>
      <c r="D41" s="5" t="str">
        <f aca="false">IFERROR(INDEX(Inventario!M:M, MATCH(A41, Inventario!D:D, 0)), "")</f>
        <v>http://repos.bancsabadell.com/bitbucket/scm/p4cp/ms-baas-correspondence-v3.git</v>
      </c>
      <c r="E41" s="1" t="str">
        <f aca="false">SUBSTITUTE(D41, ".git", "-conf/browse")</f>
        <v>http://repos.bancsabadell.com/bitbucket/scm/p4cp/ms-baas-correspondence-v3-conf/browse</v>
      </c>
      <c r="F41" s="1" t="str">
        <f aca="false">CONCATENATE("release/",C41)</f>
        <v>release/1.0.7</v>
      </c>
    </row>
    <row r="42" customFormat="false" ht="12.8" hidden="false" customHeight="false" outlineLevel="0" collapsed="false">
      <c r="A42" s="1" t="s">
        <v>1582</v>
      </c>
      <c r="B42" s="1" t="n">
        <f aca="false">ISNUMBER(MATCH(A42,Inventario!D:D, 0))</f>
        <v>1</v>
      </c>
      <c r="C42" s="1" t="str">
        <f aca="false">IFERROR(INDEX(Inventario!O:O, MATCH(A42,Inventario!D:D, 0)), "")</f>
        <v>1.0.6</v>
      </c>
      <c r="D42" s="5" t="str">
        <f aca="false">IFERROR(INDEX(Inventario!M:M, MATCH(A42, Inventario!D:D, 0)), "")</f>
        <v>http://repos.bancsabadell.com/bitbucket/scm/P4CP/ms-sys-correspondence-ia-v2.git</v>
      </c>
      <c r="E42" s="1" t="str">
        <f aca="false">SUBSTITUTE(D42, ".git", "-conf/browse")</f>
        <v>http://repos.bancsabadell.com/bitbucket/scm/P4CP/ms-sys-correspondence-ia-v2-conf/browse</v>
      </c>
      <c r="F42" s="1" t="str">
        <f aca="false">CONCATENATE("release/",C42)</f>
        <v>release/1.0.6</v>
      </c>
    </row>
    <row r="43" customFormat="false" ht="12.8" hidden="false" customHeight="false" outlineLevel="0" collapsed="false">
      <c r="A43" s="1" t="s">
        <v>2983</v>
      </c>
      <c r="B43" s="1" t="n">
        <f aca="false">ISNUMBER(MATCH(A43,Inventario!D:D, 0))</f>
        <v>1</v>
      </c>
      <c r="C43" s="1" t="str">
        <f aca="false">IFERROR(INDEX(Inventario!O:O, MATCH(A43,Inventario!D:D, 0)), "")</f>
        <v>0.1.6</v>
      </c>
      <c r="D43" s="5" t="str">
        <f aca="false">IFERROR(INDEX(Inventario!M:M, MATCH(A43, Inventario!D:D, 0)), "")</f>
        <v>http://repos.bancsabadell.com/bitbucket/scm/p4cp/ms-baas-servicing-order-v1.git</v>
      </c>
      <c r="E43" s="1" t="str">
        <f aca="false">SUBSTITUTE(D43, ".git", "-conf/browse")</f>
        <v>http://repos.bancsabadell.com/bitbucket/scm/p4cp/ms-baas-servicing-order-v1-conf/browse</v>
      </c>
      <c r="F43" s="1" t="str">
        <f aca="false">CONCATENATE("release/",C43)</f>
        <v>release/0.1.6</v>
      </c>
    </row>
    <row r="44" customFormat="false" ht="12.8" hidden="false" customHeight="false" outlineLevel="0" collapsed="false">
      <c r="A44" s="1" t="s">
        <v>1451</v>
      </c>
      <c r="B44" s="1" t="n">
        <f aca="false">ISNUMBER(MATCH(A44,Inventario!D:D, 0))</f>
        <v>1</v>
      </c>
      <c r="C44" s="1" t="str">
        <f aca="false">IFERROR(INDEX(Inventario!O:O, MATCH(A44,Inventario!D:D, 0)), "")</f>
        <v>0.1.6</v>
      </c>
      <c r="D44" s="5" t="str">
        <f aca="false">IFERROR(INDEX(Inventario!M:M, MATCH(A44, Inventario!D:D, 0)), "")</f>
        <v>http://repos.bancsabadell.com/bitbucket/scm/p4cp/ms-sys-servicing-order-gt-v1.git</v>
      </c>
      <c r="E44" s="1" t="str">
        <f aca="false">SUBSTITUTE(D44, ".git", "-conf/browse")</f>
        <v>http://repos.bancsabadell.com/bitbucket/scm/p4cp/ms-sys-servicing-order-gt-v1-conf/browse</v>
      </c>
      <c r="F44" s="1" t="str">
        <f aca="false">CONCATENATE("release/",C44)</f>
        <v>release/0.1.6</v>
      </c>
    </row>
    <row r="45" customFormat="false" ht="12.8" hidden="false" customHeight="false" outlineLevel="0" collapsed="false">
      <c r="A45" s="1" t="s">
        <v>3023</v>
      </c>
      <c r="B45" s="1" t="n">
        <f aca="false">ISNUMBER(MATCH(A45,Inventario!D:D, 0))</f>
        <v>1</v>
      </c>
      <c r="C45" s="1" t="str">
        <f aca="false">IFERROR(INDEX(Inventario!O:O, MATCH(A45,Inventario!D:D, 0)), "")</f>
        <v>1.0.8</v>
      </c>
      <c r="D45" s="5" t="str">
        <f aca="false">IFERROR(INDEX(Inventario!M:M, MATCH(A45, Inventario!D:D, 0)), "")</f>
        <v>http://repos.bancsabadell.com/bitbucket/scm/p4notifications/ms-baas-desktop-notifications.git</v>
      </c>
      <c r="E45" s="1" t="str">
        <f aca="false">SUBSTITUTE(D45, ".git", "-conf/browse")</f>
        <v>http://repos.bancsabadell.com/bitbucket/scm/p4notifications/ms-baas-desktop-notifications-conf/browse</v>
      </c>
      <c r="F45" s="1" t="str">
        <f aca="false">CONCATENATE("release/",C45)</f>
        <v>release/1.0.8</v>
      </c>
    </row>
    <row r="46" customFormat="false" ht="12.8" hidden="false" customHeight="false" outlineLevel="0" collapsed="false">
      <c r="A46" s="1" t="s">
        <v>1258</v>
      </c>
      <c r="B46" s="1" t="n">
        <f aca="false">ISNUMBER(MATCH(A46,Inventario!D:D, 0))</f>
        <v>1</v>
      </c>
      <c r="C46" s="1" t="str">
        <f aca="false">IFERROR(INDEX(Inventario!O:O, MATCH(A46,Inventario!D:D, 0)), "")</f>
        <v>0.3.3</v>
      </c>
      <c r="D46" s="5" t="str">
        <f aca="false">IFERROR(INDEX(Inventario!M:M, MATCH(A46, Inventario!D:D, 0)), "")</f>
        <v>http://repos.bancsabadell.com/bitbucket/scm/MOBI/ms-sys-party-routing-profile-aa.git</v>
      </c>
      <c r="E46" s="1" t="str">
        <f aca="false">SUBSTITUTE(D46, ".git", "-conf/browse")</f>
        <v>http://repos.bancsabadell.com/bitbucket/scm/MOBI/ms-sys-party-routing-profile-aa-conf/browse</v>
      </c>
      <c r="F46" s="1" t="str">
        <f aca="false">CONCATENATE("release/",C46)</f>
        <v>release/0.3.3</v>
      </c>
    </row>
    <row r="47" customFormat="false" ht="12.8" hidden="false" customHeight="false" outlineLevel="0" collapsed="false">
      <c r="A47" s="1" t="s">
        <v>193</v>
      </c>
      <c r="B47" s="1" t="n">
        <f aca="false">ISNUMBER(MATCH(A47,Inventario!D:D, 0))</f>
        <v>1</v>
      </c>
      <c r="C47" s="1" t="str">
        <f aca="false">IFERROR(INDEX(Inventario!O:O, MATCH(A47,Inventario!D:D, 0)), "")</f>
        <v>0.1.6</v>
      </c>
      <c r="D47" s="5" t="str">
        <f aca="false">IFERROR(INDEX(Inventario!M:M, MATCH(A47, Inventario!D:D, 0)), "")</f>
        <v>http://repos.bancsabadell.com/bitbucket/scm/P4CP/ms-bff-tjmovilpinrecovery.git</v>
      </c>
      <c r="E47" s="1" t="str">
        <f aca="false">SUBSTITUTE(D47, ".git", "-conf/browse")</f>
        <v>http://repos.bancsabadell.com/bitbucket/scm/P4CP/ms-bff-tjmovilpinrecovery-conf/browse</v>
      </c>
      <c r="F47" s="1" t="str">
        <f aca="false">CONCATENATE("release/",C47)</f>
        <v>release/0.1.6</v>
      </c>
    </row>
    <row r="48" customFormat="false" ht="12.8" hidden="false" customHeight="false" outlineLevel="0" collapsed="false">
      <c r="A48" s="1" t="s">
        <v>431</v>
      </c>
      <c r="B48" s="1" t="n">
        <f aca="false">ISNUMBER(MATCH(A48,Inventario!D:D, 0))</f>
        <v>1</v>
      </c>
      <c r="C48" s="1" t="str">
        <f aca="false">IFERROR(INDEX(Inventario!O:O, MATCH(A48,Inventario!D:D, 0)), "")</f>
        <v>1.1.2</v>
      </c>
      <c r="D48" s="5" t="str">
        <f aca="false">IFERROR(INDEX(Inventario!M:M, MATCH(A48, Inventario!D:D, 0)), "")</f>
        <v>http://repos.bancsabadell.com/bitbucket/scm/MOBI/ms-bff-party-reference-data-directory-v2.git</v>
      </c>
      <c r="E48" s="1" t="str">
        <f aca="false">SUBSTITUTE(D48, ".git", "-conf/browse")</f>
        <v>http://repos.bancsabadell.com/bitbucket/scm/MOBI/ms-bff-party-reference-data-directory-v2-conf/browse</v>
      </c>
      <c r="F48" s="1" t="str">
        <f aca="false">CONCATENATE("release/",C48)</f>
        <v>release/1.1.2</v>
      </c>
    </row>
    <row r="49" customFormat="false" ht="12.8" hidden="false" customHeight="false" outlineLevel="0" collapsed="false">
      <c r="A49" s="1" t="s">
        <v>281</v>
      </c>
      <c r="B49" s="1" t="n">
        <f aca="false">ISNUMBER(MATCH(A49,Inventario!D:D, 0))</f>
        <v>1</v>
      </c>
      <c r="C49" s="1" t="str">
        <f aca="false">IFERROR(INDEX(Inventario!O:O, MATCH(A49,Inventario!D:D, 0)), "")</f>
        <v>0.1.3</v>
      </c>
      <c r="D49" s="5" t="str">
        <f aca="false">IFERROR(INDEX(Inventario!M:M, MATCH(A49, Inventario!D:D, 0)), "")</f>
        <v>http://repos.bancsabadell.com/bitbucket/scm/P4CP/ms-bff-bs-accounts-aggregation-v1.git</v>
      </c>
      <c r="E49" s="1" t="str">
        <f aca="false">SUBSTITUTE(D49, ".git", "-conf/browse")</f>
        <v>http://repos.bancsabadell.com/bitbucket/scm/P4CP/ms-bff-bs-accounts-aggregation-v1-conf/browse</v>
      </c>
      <c r="F49" s="1" t="str">
        <f aca="false">CONCATENATE("release/",C49)</f>
        <v>release/0.1.3</v>
      </c>
    </row>
    <row r="50" customFormat="false" ht="12.8" hidden="false" customHeight="false" outlineLevel="0" collapsed="false">
      <c r="A50" s="1" t="s">
        <v>417</v>
      </c>
      <c r="B50" s="1" t="n">
        <f aca="false">ISNUMBER(MATCH(A50,Inventario!D:D, 0))</f>
        <v>1</v>
      </c>
      <c r="C50" s="1" t="str">
        <f aca="false">IFERROR(INDEX(Inventario!O:O, MATCH(A50,Inventario!D:D, 0)), "")</f>
        <v>0.1.12</v>
      </c>
      <c r="D50" s="5" t="str">
        <f aca="false">IFERROR(INDEX(Inventario!M:M, MATCH(A50, Inventario!D:D, 0)), "")</f>
        <v>http://repos.bancsabadell.com/bitbucket/scm/p4cp/ms-bff-card-financial-settlement-v1.git</v>
      </c>
      <c r="E50" s="1" t="str">
        <f aca="false">SUBSTITUTE(D50, ".git", "-conf/browse")</f>
        <v>http://repos.bancsabadell.com/bitbucket/scm/p4cp/ms-bff-card-financial-settlement-v1-conf/browse</v>
      </c>
      <c r="F50" s="1" t="str">
        <f aca="false">CONCATENATE("release/",C50)</f>
        <v>release/0.1.12</v>
      </c>
    </row>
    <row r="51" customFormat="false" ht="12.8" hidden="false" customHeight="false" outlineLevel="0" collapsed="false">
      <c r="A51" s="1" t="s">
        <v>371</v>
      </c>
      <c r="B51" s="1" t="n">
        <f aca="false">ISNUMBER(MATCH(A51,Inventario!D:D, 0))</f>
        <v>1</v>
      </c>
      <c r="C51" s="1" t="str">
        <f aca="false">IFERROR(INDEX(Inventario!O:O, MATCH(A51,Inventario!D:D, 0)), "")</f>
        <v>0.1.4</v>
      </c>
      <c r="D51" s="5" t="str">
        <f aca="false">IFERROR(INDEX(Inventario!M:M, MATCH(A51, Inventario!D:D, 0)), "")</f>
        <v>http://repos.bancsabadell.com/bitbucket/scm/p4cp/ms-bff-cards-v1.git</v>
      </c>
      <c r="E51" s="1" t="str">
        <f aca="false">SUBSTITUTE(D51, ".git", "-conf/browse")</f>
        <v>http://repos.bancsabadell.com/bitbucket/scm/p4cp/ms-bff-cards-v1-conf/browse</v>
      </c>
      <c r="F51" s="1" t="str">
        <f aca="false">CONCATENATE("release/",C51)</f>
        <v>release/0.1.4</v>
      </c>
    </row>
    <row r="52" customFormat="false" ht="12.8" hidden="false" customHeight="false" outlineLevel="0" collapsed="false">
      <c r="A52" s="1" t="s">
        <v>314</v>
      </c>
      <c r="B52" s="1" t="n">
        <f aca="false">ISNUMBER(MATCH(A52,Inventario!D:D, 0))</f>
        <v>1</v>
      </c>
      <c r="C52" s="1" t="str">
        <f aca="false">IFERROR(INDEX(Inventario!O:O, MATCH(A52,Inventario!D:D, 0)), "")</f>
        <v>0.1.10</v>
      </c>
      <c r="D52" s="5" t="str">
        <f aca="false">IFERROR(INDEX(Inventario!M:M, MATCH(A52, Inventario!D:D, 0)), "")</f>
        <v>http://repos.bancsabadell.com/bitbucket/scm/p4cp/ms-bff-credit-facility.git</v>
      </c>
      <c r="E52" s="1" t="str">
        <f aca="false">SUBSTITUTE(D52, ".git", "-conf/browse")</f>
        <v>http://repos.bancsabadell.com/bitbucket/scm/p4cp/ms-bff-credit-facility-conf/browse</v>
      </c>
      <c r="F52" s="1" t="str">
        <f aca="false">CONCATENATE("release/",C52)</f>
        <v>release/0.1.10</v>
      </c>
    </row>
    <row r="53" customFormat="false" ht="12.8" hidden="false" customHeight="false" outlineLevel="0" collapsed="false">
      <c r="A53" s="1" t="s">
        <v>111</v>
      </c>
      <c r="B53" s="1" t="n">
        <f aca="false">ISNUMBER(MATCH(A53,Inventario!D:D, 0))</f>
        <v>1</v>
      </c>
      <c r="C53" s="1" t="str">
        <f aca="false">IFERROR(INDEX(Inventario!O:O, MATCH(A53,Inventario!D:D, 0)), "")</f>
        <v>0.1.3</v>
      </c>
      <c r="D53" s="5" t="str">
        <f aca="false">IFERROR(INDEX(Inventario!M:M, MATCH(A53, Inventario!D:D, 0)), "")</f>
        <v>http://repos.bancsabadell.com/bitbucket/scm/MOBI/ms-domain-selae-redsys.git</v>
      </c>
      <c r="E53" s="1" t="str">
        <f aca="false">SUBSTITUTE(D53, ".git", "-conf/browse")</f>
        <v>http://repos.bancsabadell.com/bitbucket/scm/MOBI/ms-domain-selae-redsys-conf/browse</v>
      </c>
      <c r="F53" s="1" t="str">
        <f aca="false">CONCATENATE("release/",C53)</f>
        <v>release/0.1.3</v>
      </c>
    </row>
    <row r="54" customFormat="false" ht="12.8" hidden="false" customHeight="false" outlineLevel="0" collapsed="false">
      <c r="A54" s="1" t="s">
        <v>402</v>
      </c>
      <c r="B54" s="1" t="n">
        <f aca="false">ISNUMBER(MATCH(A54,Inventario!D:D, 0))</f>
        <v>1</v>
      </c>
      <c r="C54" s="1" t="str">
        <f aca="false">IFERROR(INDEX(Inventario!O:O, MATCH(A54,Inventario!D:D, 0)), "")</f>
        <v>0.2.2</v>
      </c>
      <c r="D54" s="5" t="str">
        <f aca="false">IFERROR(INDEX(Inventario!M:M, MATCH(A54, Inventario!D:D, 0)), "")</f>
        <v>http://repos.bancsabadell.com/bitbucket/scm/mobi/ms-bff-onfido.git</v>
      </c>
      <c r="E54" s="1" t="str">
        <f aca="false">SUBSTITUTE(D54, ".git", "-conf/browse")</f>
        <v>http://repos.bancsabadell.com/bitbucket/scm/mobi/ms-bff-onfido-conf/browse</v>
      </c>
      <c r="F54" s="1" t="str">
        <f aca="false">CONCATENATE("release/",C54)</f>
        <v>release/0.2.2</v>
      </c>
    </row>
    <row r="55" customFormat="false" ht="12.8" hidden="false" customHeight="false" outlineLevel="0" collapsed="false">
      <c r="A55" s="1" t="s">
        <v>143</v>
      </c>
      <c r="B55" s="1" t="n">
        <f aca="false">ISNUMBER(MATCH(A55,Inventario!D:D, 0))</f>
        <v>1</v>
      </c>
      <c r="C55" s="1" t="str">
        <f aca="false">IFERROR(INDEX(Inventario!O:O, MATCH(A55,Inventario!D:D, 0)), "")</f>
        <v>0.2.2</v>
      </c>
      <c r="D55" s="5" t="str">
        <f aca="false">IFERROR(INDEX(Inventario!M:M, MATCH(A55, Inventario!D:D, 0)), "")</f>
        <v>http://repos.bancsabadell.com/bitbucket/scm/MOBI/ms-bff-onfido-webhook.git</v>
      </c>
      <c r="E55" s="1" t="str">
        <f aca="false">SUBSTITUTE(D55, ".git", "-conf/browse")</f>
        <v>http://repos.bancsabadell.com/bitbucket/scm/MOBI/ms-bff-onfido-webhook-conf/browse</v>
      </c>
      <c r="F55" s="1" t="str">
        <f aca="false">CONCATENATE("release/",C55)</f>
        <v>release/0.2.2</v>
      </c>
    </row>
    <row r="56" customFormat="false" ht="12.8" hidden="false" customHeight="false" outlineLevel="0" collapsed="false">
      <c r="A56" s="1" t="s">
        <v>503</v>
      </c>
      <c r="B56" s="1" t="n">
        <f aca="false">ISNUMBER(MATCH(A56,Inventario!D:D, 0))</f>
        <v>1</v>
      </c>
      <c r="C56" s="1" t="str">
        <f aca="false">IFERROR(INDEX(Inventario!O:O, MATCH(A56,Inventario!D:D, 0)), "")</f>
        <v>0.1.5</v>
      </c>
      <c r="D56" s="5" t="str">
        <f aca="false">IFERROR(INDEX(Inventario!M:M, MATCH(A56, Inventario!D:D, 0)), "")</f>
        <v>http://repos.bancsabadell.com/bitbucket/scm/P4CP/ms-bff-transaction-authorization-bd.git</v>
      </c>
      <c r="E56" s="1" t="str">
        <f aca="false">SUBSTITUTE(D56, ".git", "-conf/browse")</f>
        <v>http://repos.bancsabadell.com/bitbucket/scm/P4CP/ms-bff-transaction-authorization-bd-conf/browse</v>
      </c>
      <c r="F56" s="1" t="str">
        <f aca="false">CONCATENATE("release/",C56)</f>
        <v>release/0.1.5</v>
      </c>
    </row>
    <row r="57" customFormat="false" ht="12.8" hidden="false" customHeight="false" outlineLevel="0" collapsed="false">
      <c r="A57" s="1" t="s">
        <v>2857</v>
      </c>
      <c r="B57" s="1" t="n">
        <f aca="false">ISNUMBER(MATCH(A57,Inventario!D:D, 0))</f>
        <v>1</v>
      </c>
      <c r="C57" s="1" t="str">
        <f aca="false">IFERROR(INDEX(Inventario!O:O, MATCH(A57,Inventario!D:D, 0)), "")</f>
        <v>0.13.1</v>
      </c>
      <c r="D57" s="5" t="str">
        <f aca="false">IFERROR(INDEX(Inventario!M:M, MATCH(A57, Inventario!D:D, 0)), "")</f>
        <v>http://repos.bancsabadell.com/bitbucket/scm/P4CP/ms-baas-onboarding.git</v>
      </c>
      <c r="E57" s="1" t="str">
        <f aca="false">SUBSTITUTE(D57, ".git", "-conf/browse")</f>
        <v>http://repos.bancsabadell.com/bitbucket/scm/P4CP/ms-baas-onboarding-conf/browse</v>
      </c>
      <c r="F57" s="1" t="str">
        <f aca="false">CONCATENATE("release/",C57)</f>
        <v>release/0.13.1</v>
      </c>
    </row>
    <row r="58" customFormat="false" ht="12.8" hidden="false" customHeight="false" outlineLevel="0" collapsed="false">
      <c r="A58" s="1" t="s">
        <v>495</v>
      </c>
      <c r="B58" s="1" t="n">
        <f aca="false">ISNUMBER(MATCH(A58,Inventario!D:D, 0))</f>
        <v>1</v>
      </c>
      <c r="C58" s="1" t="str">
        <f aca="false">IFERROR(INDEX(Inventario!O:O, MATCH(A58,Inventario!D:D, 0)), "")</f>
        <v>0.7.0</v>
      </c>
      <c r="D58" s="5" t="str">
        <f aca="false">IFERROR(INDEX(Inventario!M:M, MATCH(A58, Inventario!D:D, 0)), "")</f>
        <v>http://repos.bancsabadell.com/bitbucket/scm/P4CP/ms-bff-onboarding.git</v>
      </c>
      <c r="E58" s="1" t="str">
        <f aca="false">SUBSTITUTE(D58, ".git", "-conf/browse")</f>
        <v>http://repos.bancsabadell.com/bitbucket/scm/P4CP/ms-bff-onboarding-conf/browse</v>
      </c>
      <c r="F58" s="1" t="str">
        <f aca="false">CONCATENATE("release/",C58)</f>
        <v>release/0.7.0</v>
      </c>
    </row>
    <row r="59" customFormat="false" ht="12.8" hidden="false" customHeight="false" outlineLevel="0" collapsed="false">
      <c r="A59" s="1" t="s">
        <v>386</v>
      </c>
      <c r="B59" s="1" t="n">
        <f aca="false">ISNUMBER(MATCH(A59,Inventario!D:D, 0))</f>
        <v>1</v>
      </c>
      <c r="C59" s="1" t="str">
        <f aca="false">IFERROR(INDEX(Inventario!O:O, MATCH(A59,Inventario!D:D, 0)), "")</f>
        <v>1.1.18</v>
      </c>
      <c r="D59" s="5" t="str">
        <f aca="false">IFERROR(INDEX(Inventario!M:M, MATCH(A59, Inventario!D:D, 0)), "")</f>
        <v>http://repos.bancsabadell.com/bitbucket/scm/mobi/ms-bff-cards-dds-v1.git</v>
      </c>
      <c r="E59" s="1" t="str">
        <f aca="false">SUBSTITUTE(D59, ".git", "-conf/browse")</f>
        <v>http://repos.bancsabadell.com/bitbucket/scm/mobi/ms-bff-cards-dds-v1-conf/browse</v>
      </c>
      <c r="F59" s="1" t="str">
        <f aca="false">CONCATENATE("release/",C59)</f>
        <v>release/1.1.18</v>
      </c>
    </row>
    <row r="60" customFormat="false" ht="12.8" hidden="false" customHeight="false" outlineLevel="0" collapsed="false">
      <c r="A60" s="1" t="s">
        <v>619</v>
      </c>
      <c r="B60" s="1" t="n">
        <f aca="false">ISNUMBER(MATCH(A60,Inventario!D:D, 0))</f>
        <v>1</v>
      </c>
      <c r="C60" s="1" t="str">
        <f aca="false">IFERROR(INDEX(Inventario!O:O, MATCH(A60,Inventario!D:D, 0)), "")</f>
        <v>1.1.9</v>
      </c>
      <c r="D60" s="5" t="str">
        <f aca="false">IFERROR(INDEX(Inventario!M:M, MATCH(A60, Inventario!D:D, 0)), "")</f>
        <v>http://repos.bancsabadell.com/bitbucket/scm/P4CP/ms-bff-correspondence-v3.git</v>
      </c>
      <c r="E60" s="1" t="str">
        <f aca="false">SUBSTITUTE(D60, ".git", "-conf/browse")</f>
        <v>http://repos.bancsabadell.com/bitbucket/scm/P4CP/ms-bff-correspondence-v3-conf/browse</v>
      </c>
      <c r="F60" s="1" t="str">
        <f aca="false">CONCATENATE("release/",C60)</f>
        <v>release/1.1.9</v>
      </c>
    </row>
    <row r="61" customFormat="false" ht="12.8" hidden="false" customHeight="false" outlineLevel="0" collapsed="false">
      <c r="A61" s="1" t="s">
        <v>1397</v>
      </c>
      <c r="B61" s="1" t="n">
        <f aca="false">ISNUMBER(MATCH(A61,Inventario!D:D, 0))</f>
        <v>1</v>
      </c>
      <c r="C61" s="1" t="str">
        <f aca="false">IFERROR(INDEX(Inventario!O:O, MATCH(A61,Inventario!D:D, 0)), "")</f>
        <v>1.1.0</v>
      </c>
      <c r="D61" s="5" t="str">
        <f aca="false">IFERROR(INDEX(Inventario!M:M, MATCH(A61, Inventario!D:D, 0)), "")</f>
        <v>http://repos.bancsabadell.com/bitbucket/scm/P4CP/ms-sys-customer-credit-rating-cirbe-sytem-cirite.git</v>
      </c>
      <c r="E61" s="1" t="str">
        <f aca="false">SUBSTITUTE(D61, ".git", "-conf/browse")</f>
        <v>http://repos.bancsabadell.com/bitbucket/scm/P4CP/ms-sys-customer-credit-rating-cirbe-sytem-cirite-conf/browse</v>
      </c>
      <c r="F61" s="1" t="str">
        <f aca="false">CONCATENATE("release/",C61)</f>
        <v>release/1.1.0</v>
      </c>
    </row>
    <row r="62" customFormat="false" ht="12.8" hidden="false" customHeight="false" outlineLevel="0" collapsed="false">
      <c r="A62" s="1" t="s">
        <v>2328</v>
      </c>
      <c r="B62" s="1" t="n">
        <f aca="false">ISNUMBER(MATCH(A62,Inventario!D:D, 0))</f>
        <v>1</v>
      </c>
      <c r="C62" s="1" t="str">
        <f aca="false">IFERROR(INDEX(Inventario!O:O, MATCH(A62,Inventario!D:D, 0)), "")</f>
        <v>1.0.0</v>
      </c>
      <c r="D62" s="5" t="str">
        <f aca="false">IFERROR(INDEX(Inventario!M:M, MATCH(A62, Inventario!D:D, 0)), "")</f>
        <v>http://repos.bancsabadell.com/bitbucket/scm/P4CP/ms-sys-customer-credit-rating-cirbe-zi-v1.git</v>
      </c>
      <c r="E62" s="1" t="str">
        <f aca="false">SUBSTITUTE(D62, ".git", "-conf/browse")</f>
        <v>http://repos.bancsabadell.com/bitbucket/scm/P4CP/ms-sys-customer-credit-rating-cirbe-zi-v1-conf/browse</v>
      </c>
      <c r="F62" s="1" t="str">
        <f aca="false">CONCATENATE("release/",C62)</f>
        <v>release/1.0.0</v>
      </c>
    </row>
    <row r="63" customFormat="false" ht="12.8" hidden="false" customHeight="false" outlineLevel="0" collapsed="false">
      <c r="A63" s="1" t="s">
        <v>1529</v>
      </c>
      <c r="B63" s="1" t="n">
        <f aca="false">ISNUMBER(MATCH(A63,Inventario!D:D, 0))</f>
        <v>1</v>
      </c>
      <c r="C63" s="1" t="str">
        <f aca="false">IFERROR(INDEX(Inventario!O:O, MATCH(A63,Inventario!D:D, 0)), "")</f>
        <v>1.1.4</v>
      </c>
      <c r="D63" s="5" t="str">
        <f aca="false">IFERROR(INDEX(Inventario!M:M, MATCH(A63, Inventario!D:D, 0)), "")</f>
        <v>http://repos.bancsabadell.com/bitbucket/scm/P4CP/ms-sys-customer-relationship-management-ags.git</v>
      </c>
      <c r="E63" s="1" t="str">
        <f aca="false">SUBSTITUTE(D63, ".git", "-conf/browse")</f>
        <v>http://repos.bancsabadell.com/bitbucket/scm/P4CP/ms-sys-customer-relationship-management-ags-conf/browse</v>
      </c>
      <c r="F63" s="1" t="str">
        <f aca="false">CONCATENATE("release/",C63)</f>
        <v>release/1.1.4</v>
      </c>
    </row>
    <row r="64" customFormat="false" ht="12.8" hidden="false" customHeight="false" outlineLevel="0" collapsed="false">
      <c r="A64" s="1" t="s">
        <v>1602</v>
      </c>
      <c r="B64" s="1" t="n">
        <f aca="false">ISNUMBER(MATCH(A64,Inventario!D:D, 0))</f>
        <v>1</v>
      </c>
      <c r="C64" s="1" t="str">
        <f aca="false">IFERROR(INDEX(Inventario!O:O, MATCH(A64,Inventario!D:D, 0)), "")</f>
        <v>1.0.8</v>
      </c>
      <c r="D64" s="5" t="str">
        <f aca="false">IFERROR(INDEX(Inventario!M:M, MATCH(A64, Inventario!D:D, 0)), "")</f>
        <v>http://repos.bancsabadell.com/bitbucket/scm/P4CP/ms-sys-merchant-acquiring-facility-system-ta-v1.git</v>
      </c>
      <c r="E64" s="1" t="str">
        <f aca="false">SUBSTITUTE(D64, ".git", "-conf/browse")</f>
        <v>http://repos.bancsabadell.com/bitbucket/scm/P4CP/ms-sys-merchant-acquiring-facility-system-ta-v1-conf/browse</v>
      </c>
      <c r="F64" s="1" t="str">
        <f aca="false">CONCATENATE("release/",C64)</f>
        <v>release/1.0.8</v>
      </c>
    </row>
    <row r="65" customFormat="false" ht="12.8" hidden="false" customHeight="false" outlineLevel="0" collapsed="false">
      <c r="A65" s="1" t="s">
        <v>1287</v>
      </c>
      <c r="B65" s="1" t="n">
        <f aca="false">ISNUMBER(MATCH(A65,Inventario!D:D, 0))</f>
        <v>1</v>
      </c>
      <c r="C65" s="1" t="str">
        <f aca="false">IFERROR(INDEX(Inventario!O:O, MATCH(A65,Inventario!D:D, 0)), "")</f>
        <v>1.0.2</v>
      </c>
      <c r="D65" s="5" t="str">
        <f aca="false">IFERROR(INDEX(Inventario!M:M, MATCH(A65, Inventario!D:D, 0)), "")</f>
        <v>http://repos.bancsabadell.com/bitbucket/scm/ESSABICAAPIRRBB/ms-sys-icaap-irrbb.git</v>
      </c>
      <c r="E65" s="1" t="str">
        <f aca="false">SUBSTITUTE(D65, ".git", "-conf/browse")</f>
        <v>http://repos.bancsabadell.com/bitbucket/scm/ESSABICAAPIRRBB/ms-sys-icaap-irrbb-conf/browse</v>
      </c>
      <c r="F65" s="1" t="str">
        <f aca="false">CONCATENATE("release/",C65)</f>
        <v>release/1.0.2</v>
      </c>
    </row>
    <row r="66" customFormat="false" ht="12.8" hidden="false" customHeight="false" outlineLevel="0" collapsed="false">
      <c r="A66" s="1" t="s">
        <v>2785</v>
      </c>
      <c r="B66" s="1" t="n">
        <f aca="false">ISNUMBER(MATCH(A66,Inventario!D:D, 0))</f>
        <v>1</v>
      </c>
      <c r="C66" s="1" t="str">
        <f aca="false">IFERROR(INDEX(Inventario!O:O, MATCH(A66,Inventario!D:D, 0)), "")</f>
        <v>1.0.1</v>
      </c>
      <c r="D66" s="5" t="str">
        <f aca="false">IFERROR(INDEX(Inventario!M:M, MATCH(A66, Inventario!D:D, 0)), "")</f>
        <v>http://repos.bancsabadell.com/bitbucket/scm/P4CP/ms-baas-channel-activity-history.git</v>
      </c>
      <c r="E66" s="1" t="str">
        <f aca="false">SUBSTITUTE(D66, ".git", "-conf/browse")</f>
        <v>http://repos.bancsabadell.com/bitbucket/scm/P4CP/ms-baas-channel-activity-history-conf/browse</v>
      </c>
      <c r="F66" s="1" t="str">
        <f aca="false">CONCATENATE("release/",C66)</f>
        <v>release/1.0.1</v>
      </c>
    </row>
    <row r="67" customFormat="false" ht="12.8" hidden="false" customHeight="false" outlineLevel="0" collapsed="false">
      <c r="A67" s="1" t="s">
        <v>2656</v>
      </c>
      <c r="B67" s="1" t="n">
        <f aca="false">ISNUMBER(MATCH(A67,Inventario!D:D, 0))</f>
        <v>1</v>
      </c>
      <c r="C67" s="1" t="str">
        <f aca="false">IFERROR(INDEX(Inventario!O:O, MATCH(A67,Inventario!D:D, 0)), "")</f>
        <v>1.0.4</v>
      </c>
      <c r="D67" s="5" t="str">
        <f aca="false">IFERROR(INDEX(Inventario!M:M, MATCH(A67, Inventario!D:D, 0)), "")</f>
        <v>http://repos.bancsabadell.com/bitbucket/scm/p4cp/ms-baas-customer-relationship-management.git</v>
      </c>
      <c r="E67" s="1" t="str">
        <f aca="false">SUBSTITUTE(D67, ".git", "-conf/browse")</f>
        <v>http://repos.bancsabadell.com/bitbucket/scm/p4cp/ms-baas-customer-relationship-management-conf/browse</v>
      </c>
      <c r="F67" s="1" t="str">
        <f aca="false">CONCATENATE("release/",C67)</f>
        <v>release/1.0.4</v>
      </c>
    </row>
    <row r="68" customFormat="false" ht="12.8" hidden="false" customHeight="false" outlineLevel="0" collapsed="false">
      <c r="A68" s="1" t="s">
        <v>2513</v>
      </c>
      <c r="B68" s="1" t="n">
        <f aca="false">ISNUMBER(MATCH(A68,Inventario!D:D, 0))</f>
        <v>1</v>
      </c>
      <c r="C68" s="1" t="str">
        <f aca="false">IFERROR(INDEX(Inventario!O:O, MATCH(A68,Inventario!D:D, 0)), "")</f>
        <v>1.0.4</v>
      </c>
      <c r="D68" s="5" t="str">
        <f aca="false">IFERROR(INDEX(Inventario!M:M, MATCH(A68, Inventario!D:D, 0)), "")</f>
        <v>http://repos.bancsabadell.com/bitbucket/scm/P4CP/ms-baas-appointment-reference-data.git</v>
      </c>
      <c r="E68" s="1" t="str">
        <f aca="false">SUBSTITUTE(D68, ".git", "-conf/browse")</f>
        <v>http://repos.bancsabadell.com/bitbucket/scm/P4CP/ms-baas-appointment-reference-data-conf/browse</v>
      </c>
      <c r="F68" s="1" t="str">
        <f aca="false">CONCATENATE("release/",C68)</f>
        <v>release/1.0.4</v>
      </c>
    </row>
    <row r="69" customFormat="false" ht="12.8" hidden="false" customHeight="false" outlineLevel="0" collapsed="false">
      <c r="A69" s="1" t="s">
        <v>2303</v>
      </c>
      <c r="B69" s="1" t="n">
        <f aca="false">ISNUMBER(MATCH(A69,Inventario!D:D, 0))</f>
        <v>1</v>
      </c>
      <c r="C69" s="1" t="str">
        <f aca="false">IFERROR(INDEX(Inventario!O:O, MATCH(A69,Inventario!D:D, 0)), "")</f>
        <v>1.2.2</v>
      </c>
      <c r="D69" s="5" t="str">
        <f aca="false">IFERROR(INDEX(Inventario!M:M, MATCH(A69, Inventario!D:D, 0)), "")</f>
        <v>http://repos.bancsabadell.com/bitbucket/scm/MOBI/ms-sys-customer-relationship-management-app-v1.git</v>
      </c>
      <c r="E69" s="1" t="str">
        <f aca="false">SUBSTITUTE(D69, ".git", "-conf/browse")</f>
        <v>http://repos.bancsabadell.com/bitbucket/scm/MOBI/ms-sys-customer-relationship-management-app-v1-conf/browse</v>
      </c>
      <c r="F69" s="1" t="str">
        <f aca="false">CONCATENATE("release/",C69)</f>
        <v>release/1.2.2</v>
      </c>
    </row>
    <row r="70" customFormat="false" ht="12.8" hidden="false" customHeight="false" outlineLevel="0" collapsed="false">
      <c r="A70" s="1" t="s">
        <v>2891</v>
      </c>
      <c r="B70" s="1" t="n">
        <f aca="false">ISNUMBER(MATCH(A70,Inventario!D:D, 0))</f>
        <v>1</v>
      </c>
      <c r="C70" s="1" t="str">
        <f aca="false">IFERROR(INDEX(Inventario!O:O, MATCH(A70,Inventario!D:D, 0)), "")</f>
        <v>1.4.3</v>
      </c>
      <c r="D70" s="5" t="str">
        <f aca="false">IFERROR(INDEX(Inventario!M:M, MATCH(A70, Inventario!D:D, 0)), "")</f>
        <v>http://repos.bancsabadell.com/bitbucket/scm/ESSABPHISHING/ms-baas-outsystems-notifications.git</v>
      </c>
      <c r="E70" s="1" t="str">
        <f aca="false">SUBSTITUTE(D70, ".git", "-conf/browse")</f>
        <v>http://repos.bancsabadell.com/bitbucket/scm/ESSABPHISHING/ms-baas-outsystems-notifications-conf/browse</v>
      </c>
      <c r="F70" s="1" t="str">
        <f aca="false">CONCATENATE("release/",C70)</f>
        <v>release/1.4.3</v>
      </c>
    </row>
    <row r="71" customFormat="false" ht="12.8" hidden="false" customHeight="false" outlineLevel="0" collapsed="false">
      <c r="A71" s="1" t="s">
        <v>1664</v>
      </c>
      <c r="B71" s="1" t="n">
        <f aca="false">ISNUMBER(MATCH(A71,Inventario!D:D, 0))</f>
        <v>1</v>
      </c>
      <c r="C71" s="1" t="str">
        <f aca="false">IFERROR(INDEX(Inventario!O:O, MATCH(A71,Inventario!D:D, 0)), "")</f>
        <v>1.0.2</v>
      </c>
      <c r="D71" s="5" t="str">
        <f aca="false">IFERROR(INDEX(Inventario!M:M, MATCH(A71, Inventario!D:D, 0)), "")</f>
        <v>http://repos.bancsabadell.com/bitbucket/scm/P4CP/ms-sys-customer-tax-handling-system-ic-v1.git</v>
      </c>
      <c r="E71" s="1" t="str">
        <f aca="false">SUBSTITUTE(D71, ".git", "-conf/browse")</f>
        <v>http://repos.bancsabadell.com/bitbucket/scm/P4CP/ms-sys-customer-tax-handling-system-ic-v1-conf/browse</v>
      </c>
      <c r="F71" s="1" t="str">
        <f aca="false">CONCATENATE("release/",C71)</f>
        <v>release/1.0.2</v>
      </c>
    </row>
    <row r="72" customFormat="false" ht="12.8" hidden="false" customHeight="false" outlineLevel="0" collapsed="false">
      <c r="A72" s="1" t="s">
        <v>2668</v>
      </c>
      <c r="B72" s="1" t="n">
        <f aca="false">ISNUMBER(MATCH(A72,Inventario!D:D, 0))</f>
        <v>1</v>
      </c>
      <c r="C72" s="1" t="str">
        <f aca="false">IFERROR(INDEX(Inventario!O:O, MATCH(A72,Inventario!D:D, 0)), "")</f>
        <v>1.1.2</v>
      </c>
      <c r="D72" s="5" t="str">
        <f aca="false">IFERROR(INDEX(Inventario!M:M, MATCH(A72, Inventario!D:D, 0)), "")</f>
        <v>http://repos.bancsabadell.com/bitbucket/scm/ESIC/ms-baas-aeat2bs.git</v>
      </c>
      <c r="E72" s="1" t="str">
        <f aca="false">SUBSTITUTE(D72, ".git", "-conf/browse")</f>
        <v>http://repos.bancsabadell.com/bitbucket/scm/ESIC/ms-baas-aeat2bs-conf/browse</v>
      </c>
      <c r="F72" s="1" t="str">
        <f aca="false">CONCATENATE("release/",C72)</f>
        <v>release/1.1.2</v>
      </c>
    </row>
    <row r="73" customFormat="false" ht="12.8" hidden="false" customHeight="false" outlineLevel="0" collapsed="false">
      <c r="A73" s="1" t="s">
        <v>3096</v>
      </c>
      <c r="B73" s="1" t="n">
        <f aca="false">ISNUMBER(MATCH(A73,Inventario!D:D, 0))</f>
        <v>1</v>
      </c>
      <c r="C73" s="1" t="str">
        <f aca="false">IFERROR(INDEX(Inventario!O:O, MATCH(A73,Inventario!D:D, 0)), "")</f>
        <v>2.2.5</v>
      </c>
      <c r="D73" s="5" t="str">
        <f aca="false">IFERROR(INDEX(Inventario!M:M, MATCH(A73, Inventario!D:D, 0)), "")</f>
        <v>http://repos.bancsabadell.com/bitbucket/scm/ESIC/ms-baas-bs2aeat.git</v>
      </c>
      <c r="E73" s="1" t="str">
        <f aca="false">SUBSTITUTE(D73, ".git", "-conf/browse")</f>
        <v>http://repos.bancsabadell.com/bitbucket/scm/ESIC/ms-baas-bs2aeat-conf/browse</v>
      </c>
      <c r="F73" s="1" t="str">
        <f aca="false">CONCATENATE("release/",C73)</f>
        <v>release/2.2.5</v>
      </c>
    </row>
    <row r="74" customFormat="false" ht="12.8" hidden="false" customHeight="false" outlineLevel="0" collapsed="false">
      <c r="A74" s="1" t="s">
        <v>2583</v>
      </c>
      <c r="B74" s="1" t="n">
        <f aca="false">ISNUMBER(MATCH(A74,Inventario!D:D, 0))</f>
        <v>1</v>
      </c>
      <c r="C74" s="1" t="str">
        <f aca="false">IFERROR(INDEX(Inventario!O:O, MATCH(A74,Inventario!D:D, 0)), "")</f>
        <v>1.0.2</v>
      </c>
      <c r="D74" s="5" t="str">
        <f aca="false">IFERROR(INDEX(Inventario!M:M, MATCH(A74, Inventario!D:D, 0)), "")</f>
        <v>http://repos.bancsabadell.com/bitbucket/scm/P4CP/ms-baas-customer-tax-handling-v1.git</v>
      </c>
      <c r="E74" s="1" t="str">
        <f aca="false">SUBSTITUTE(D74, ".git", "-conf/browse")</f>
        <v>http://repos.bancsabadell.com/bitbucket/scm/P4CP/ms-baas-customer-tax-handling-v1-conf/browse</v>
      </c>
      <c r="F74" s="1" t="str">
        <f aca="false">CONCATENATE("release/",C74)</f>
        <v>release/1.0.2</v>
      </c>
    </row>
    <row r="75" customFormat="false" ht="12.8" hidden="false" customHeight="false" outlineLevel="0" collapsed="false">
      <c r="A75" s="1" t="s">
        <v>1894</v>
      </c>
      <c r="B75" s="1" t="n">
        <f aca="false">ISNUMBER(MATCH(A75,Inventario!D:D, 0))</f>
        <v>1</v>
      </c>
      <c r="C75" s="1" t="str">
        <f aca="false">IFERROR(INDEX(Inventario!O:O, MATCH(A75,Inventario!D:D, 0)), "")</f>
        <v>1.1.1</v>
      </c>
      <c r="D75" s="5" t="str">
        <f aca="false">IFERROR(INDEX(Inventario!M:M, MATCH(A75, Inventario!D:D, 0)), "")</f>
        <v>http://repos.bancsabadell.com/bitbucket/scm/ESIC/ms-sys-aeat2bs.git</v>
      </c>
      <c r="E75" s="1" t="str">
        <f aca="false">SUBSTITUTE(D75, ".git", "-conf/browse")</f>
        <v>http://repos.bancsabadell.com/bitbucket/scm/ESIC/ms-sys-aeat2bs-conf/browse</v>
      </c>
      <c r="F75" s="1" t="str">
        <f aca="false">CONCATENATE("release/",C75)</f>
        <v>release/1.1.1</v>
      </c>
    </row>
    <row r="76" customFormat="false" ht="12.8" hidden="false" customHeight="false" outlineLevel="0" collapsed="false">
      <c r="A76" s="1" t="s">
        <v>3041</v>
      </c>
      <c r="B76" s="1" t="n">
        <f aca="false">ISNUMBER(MATCH(A76,Inventario!D:D, 0))</f>
        <v>1</v>
      </c>
      <c r="C76" s="1" t="str">
        <f aca="false">IFERROR(INDEX(Inventario!O:O, MATCH(A76,Inventario!D:D, 0)), "")</f>
        <v>0.2.2</v>
      </c>
      <c r="D76" s="5" t="str">
        <f aca="false">IFERROR(INDEX(Inventario!M:M, MATCH(A76, Inventario!D:D, 0)), "")</f>
        <v>http://repos.bancsabadell.com/bitbucket/scm/p4cp/ms-baas-correspondence-v1.git</v>
      </c>
      <c r="E76" s="1" t="str">
        <f aca="false">SUBSTITUTE(D76, ".git", "-conf/browse")</f>
        <v>http://repos.bancsabadell.com/bitbucket/scm/p4cp/ms-baas-correspondence-v1-conf/browse</v>
      </c>
      <c r="F76" s="1" t="str">
        <f aca="false">CONCATENATE("release/",C76)</f>
        <v>release/0.2.2</v>
      </c>
    </row>
    <row r="77" customFormat="false" ht="12.8" hidden="false" customHeight="false" outlineLevel="0" collapsed="false">
      <c r="A77" s="1" t="s">
        <v>1237</v>
      </c>
      <c r="B77" s="1" t="n">
        <f aca="false">ISNUMBER(MATCH(A77,Inventario!D:D, 0))</f>
        <v>1</v>
      </c>
      <c r="C77" s="1" t="str">
        <f aca="false">IFERROR(INDEX(Inventario!O:O, MATCH(A77,Inventario!D:D, 0)), "")</f>
        <v>0.1.3</v>
      </c>
      <c r="D77" s="5" t="str">
        <f aca="false">IFERROR(INDEX(Inventario!M:M, MATCH(A77, Inventario!D:D, 0)), "")</f>
        <v>http://repos.bancsabadell.com/bitbucket/scm/p4cp/ms-sys-enrollment-ip-v1.git</v>
      </c>
      <c r="E77" s="1" t="str">
        <f aca="false">SUBSTITUTE(D77, ".git", "-conf/browse")</f>
        <v>http://repos.bancsabadell.com/bitbucket/scm/p4cp/ms-sys-enrollment-ip-v1-conf/browse</v>
      </c>
      <c r="F77" s="1" t="str">
        <f aca="false">CONCATENATE("release/",C77)</f>
        <v>release/0.1.3</v>
      </c>
    </row>
    <row r="78" customFormat="false" ht="12.8" hidden="false" customHeight="false" outlineLevel="0" collapsed="false">
      <c r="A78" s="1" t="s">
        <v>1160</v>
      </c>
      <c r="B78" s="1" t="n">
        <f aca="false">ISNUMBER(MATCH(A78,Inventario!D:D, 0))</f>
        <v>1</v>
      </c>
      <c r="C78" s="1" t="str">
        <f aca="false">IFERROR(INDEX(Inventario!O:O, MATCH(A78,Inventario!D:D, 0)), "")</f>
        <v>0.0.3</v>
      </c>
      <c r="D78" s="5" t="str">
        <f aca="false">IFERROR(INDEX(Inventario!M:M, MATCH(A78, Inventario!D:D, 0)), "")</f>
        <v>http://repos.bancsabadell.com/bitbucket/scm/P4CP/ms-sys-payment-instruction-ip.git</v>
      </c>
      <c r="E78" s="1" t="str">
        <f aca="false">SUBSTITUTE(D78, ".git", "-conf/browse")</f>
        <v>http://repos.bancsabadell.com/bitbucket/scm/P4CP/ms-sys-payment-instruction-ip-conf/browse</v>
      </c>
      <c r="F78" s="1" t="str">
        <f aca="false">CONCATENATE("release/",C78)</f>
        <v>release/0.0.3</v>
      </c>
    </row>
    <row r="79" customFormat="false" ht="12.8" hidden="false" customHeight="false" outlineLevel="0" collapsed="false">
      <c r="A79" s="1" t="s">
        <v>1117</v>
      </c>
      <c r="B79" s="1" t="n">
        <f aca="false">ISNUMBER(MATCH(A79,Inventario!D:D, 0))</f>
        <v>1</v>
      </c>
      <c r="C79" s="1" t="str">
        <f aca="false">IFERROR(INDEX(Inventario!O:O, MATCH(A79,Inventario!D:D, 0)), "")</f>
        <v>1.1.2</v>
      </c>
      <c r="D79" s="5" t="str">
        <f aca="false">IFERROR(INDEX(Inventario!M:M, MATCH(A79, Inventario!D:D, 0)), "")</f>
        <v>http://repos.bancsabadell.com/bitbucket/scm/p4cp/ms-sys-redsys.git</v>
      </c>
      <c r="E79" s="1" t="str">
        <f aca="false">SUBSTITUTE(D79, ".git", "-conf/browse")</f>
        <v>http://repos.bancsabadell.com/bitbucket/scm/p4cp/ms-sys-redsys-conf/browse</v>
      </c>
      <c r="F79" s="1" t="str">
        <f aca="false">CONCATENATE("release/",C79)</f>
        <v>release/1.1.2</v>
      </c>
    </row>
    <row r="80" customFormat="false" ht="12.8" hidden="false" customHeight="false" outlineLevel="0" collapsed="false">
      <c r="A80" s="1" t="s">
        <v>3002</v>
      </c>
      <c r="B80" s="1" t="n">
        <f aca="false">ISNUMBER(MATCH(A80,Inventario!D:D, 0))</f>
        <v>1</v>
      </c>
      <c r="C80" s="1" t="str">
        <f aca="false">IFERROR(INDEX(Inventario!O:O, MATCH(A80,Inventario!D:D, 0)), "")</f>
        <v>1.3.2</v>
      </c>
      <c r="D80" s="5" t="str">
        <f aca="false">IFERROR(INDEX(Inventario!M:M, MATCH(A80, Inventario!D:D, 0)), "")</f>
        <v>http://repos.bancsabadell.com/bitbucket/scm/P4CP/ms-baas-payment-initiation-v1.git</v>
      </c>
      <c r="E80" s="1" t="str">
        <f aca="false">SUBSTITUTE(D80, ".git", "-conf/browse")</f>
        <v>http://repos.bancsabadell.com/bitbucket/scm/P4CP/ms-baas-payment-initiation-v1-conf/browse</v>
      </c>
      <c r="F80" s="1" t="str">
        <f aca="false">CONCATENATE("release/",C80)</f>
        <v>release/1.3.2</v>
      </c>
    </row>
    <row r="81" customFormat="false" ht="12.8" hidden="false" customHeight="false" outlineLevel="0" collapsed="false">
      <c r="A81" s="1" t="s">
        <v>2526</v>
      </c>
      <c r="B81" s="1" t="n">
        <f aca="false">ISNUMBER(MATCH(A81,Inventario!D:D, 0))</f>
        <v>1</v>
      </c>
      <c r="C81" s="1" t="str">
        <f aca="false">IFERROR(INDEX(Inventario!O:O, MATCH(A81,Inventario!D:D, 0)), "")</f>
        <v>1.2.4</v>
      </c>
      <c r="D81" s="5" t="str">
        <f aca="false">IFERROR(INDEX(Inventario!M:M, MATCH(A81, Inventario!D:D, 0)), "")</f>
        <v>http://repos.bancsabadell.com/bitbucket/scm/p4cp/ms-baas-payment-order-v1.git</v>
      </c>
      <c r="E81" s="1" t="str">
        <f aca="false">SUBSTITUTE(D81, ".git", "-conf/browse")</f>
        <v>http://repos.bancsabadell.com/bitbucket/scm/p4cp/ms-baas-payment-order-v1-conf/browse</v>
      </c>
      <c r="F81" s="1" t="str">
        <f aca="false">CONCATENATE("release/",C81)</f>
        <v>release/1.2.4</v>
      </c>
    </row>
    <row r="82" customFormat="false" ht="12.8" hidden="false" customHeight="false" outlineLevel="0" collapsed="false">
      <c r="A82" s="1" t="s">
        <v>1542</v>
      </c>
      <c r="B82" s="1" t="n">
        <f aca="false">ISNUMBER(MATCH(A82,Inventario!D:D, 0))</f>
        <v>1</v>
      </c>
      <c r="C82" s="1" t="str">
        <f aca="false">IFERROR(INDEX(Inventario!O:O, MATCH(A82,Inventario!D:D, 0)), "")</f>
        <v>1.0.0</v>
      </c>
      <c r="D82" s="5" t="str">
        <f aca="false">IFERROR(INDEX(Inventario!M:M, MATCH(A82, Inventario!D:D, 0)), "")</f>
        <v>http://repos.bancsabadell.com/bitbucket/scm/p4cp/ms-sys-payment-initiation-xs-v1.git</v>
      </c>
      <c r="E82" s="1" t="str">
        <f aca="false">SUBSTITUTE(D82, ".git", "-conf/browse")</f>
        <v>http://repos.bancsabadell.com/bitbucket/scm/p4cp/ms-sys-payment-initiation-xs-v1-conf/browse</v>
      </c>
      <c r="F82" s="1" t="str">
        <f aca="false">CONCATENATE("release/",C82)</f>
        <v>release/1.0.0</v>
      </c>
    </row>
    <row r="83" customFormat="false" ht="12.8" hidden="false" customHeight="false" outlineLevel="0" collapsed="false">
      <c r="A83" s="1" t="s">
        <v>2322</v>
      </c>
      <c r="B83" s="1" t="n">
        <f aca="false">ISNUMBER(MATCH(A83,Inventario!D:D, 0))</f>
        <v>1</v>
      </c>
      <c r="C83" s="1" t="str">
        <f aca="false">IFERROR(INDEX(Inventario!O:O, MATCH(A83,Inventario!D:D, 0)), "")</f>
        <v>1.0.2</v>
      </c>
      <c r="D83" s="5" t="str">
        <f aca="false">IFERROR(INDEX(Inventario!M:M, MATCH(A83, Inventario!D:D, 0)), "")</f>
        <v>http://repos.bancsabadell.com/bitbucket/scm/P4CP/ms-sys-doc-generator.git</v>
      </c>
      <c r="E83" s="1" t="str">
        <f aca="false">SUBSTITUTE(D83, ".git", "-conf/browse")</f>
        <v>http://repos.bancsabadell.com/bitbucket/scm/P4CP/ms-sys-doc-generator-conf/browse</v>
      </c>
      <c r="F83" s="1" t="str">
        <f aca="false">CONCATENATE("release/",C83)</f>
        <v>release/1.0.2</v>
      </c>
    </row>
    <row r="84" customFormat="false" ht="12.8" hidden="false" customHeight="false" outlineLevel="0" collapsed="false">
      <c r="A84" s="1" t="s">
        <v>1561</v>
      </c>
      <c r="B84" s="1" t="n">
        <f aca="false">ISNUMBER(MATCH(A84,Inventario!D:D, 0))</f>
        <v>1</v>
      </c>
      <c r="C84" s="1" t="str">
        <f aca="false">IFERROR(INDEX(Inventario!O:O, MATCH(A84,Inventario!D:D, 0)), "")</f>
        <v>1.1.0</v>
      </c>
      <c r="D84" s="5" t="str">
        <f aca="false">IFERROR(INDEX(Inventario!M:M, MATCH(A84, Inventario!D:D, 0)), "")</f>
        <v>http://repos.bancsabadell.com/bitbucket/scm/P4CP/ms-sys-public-reference-data-system-bp-v1.git</v>
      </c>
      <c r="E84" s="1" t="str">
        <f aca="false">SUBSTITUTE(D84, ".git", "-conf/browse")</f>
        <v>http://repos.bancsabadell.com/bitbucket/scm/P4CP/ms-sys-public-reference-data-system-bp-v1-conf/browse</v>
      </c>
      <c r="F84" s="1" t="str">
        <f aca="false">CONCATENATE("release/",C84)</f>
        <v>release/1.1.0</v>
      </c>
    </row>
    <row r="85" customFormat="false" ht="12.8" hidden="false" customHeight="false" outlineLevel="0" collapsed="false">
      <c r="A85" s="1" t="s">
        <v>2558</v>
      </c>
      <c r="B85" s="1" t="n">
        <f aca="false">ISNUMBER(MATCH(A85,Inventario!D:D, 0))</f>
        <v>1</v>
      </c>
      <c r="C85" s="1" t="str">
        <f aca="false">IFERROR(INDEX(Inventario!O:O, MATCH(A85,Inventario!D:D, 0)), "")</f>
        <v>2.0.1</v>
      </c>
      <c r="D85" s="5" t="str">
        <f aca="false">IFERROR(INDEX(Inventario!M:M, MATCH(A85, Inventario!D:D, 0)), "")</f>
        <v>http://repos.bancsabadell.com/bitbucket/scm/P4CP/ms-baas-ccf.git</v>
      </c>
      <c r="E85" s="1" t="str">
        <f aca="false">SUBSTITUTE(D85, ".git", "-conf/browse")</f>
        <v>http://repos.bancsabadell.com/bitbucket/scm/P4CP/ms-baas-ccf-conf/browse</v>
      </c>
      <c r="F85" s="1" t="str">
        <f aca="false">CONCATENATE("release/",C85)</f>
        <v>release/2.0.1</v>
      </c>
    </row>
    <row r="86" customFormat="false" ht="12.8" hidden="false" customHeight="false" outlineLevel="0" collapsed="false">
      <c r="A86" s="1" t="s">
        <v>1279</v>
      </c>
      <c r="B86" s="1" t="n">
        <f aca="false">ISNUMBER(MATCH(A86,Inventario!D:D, 0))</f>
        <v>1</v>
      </c>
      <c r="C86" s="1" t="str">
        <f aca="false">IFERROR(INDEX(Inventario!O:O, MATCH(A86,Inventario!D:D, 0)), "")</f>
        <v>2.0.1</v>
      </c>
      <c r="D86" s="5" t="str">
        <f aca="false">IFERROR(INDEX(Inventario!M:M, MATCH(A86, Inventario!D:D, 0)), "")</f>
        <v>http://repos.bancsabadell.com/bitbucket/scm/INTERCAM/ms-sys-ccf.git</v>
      </c>
      <c r="E86" s="1" t="str">
        <f aca="false">SUBSTITUTE(D86, ".git", "-conf/browse")</f>
        <v>http://repos.bancsabadell.com/bitbucket/scm/INTERCAM/ms-sys-ccf-conf/browse</v>
      </c>
      <c r="F86" s="1" t="str">
        <f aca="false">CONCATENATE("release/",C86)</f>
        <v>release/2.0.1</v>
      </c>
    </row>
    <row r="87" customFormat="false" ht="12.8" hidden="false" customHeight="false" outlineLevel="0" collapsed="false">
      <c r="A87" s="1" t="s">
        <v>3048</v>
      </c>
      <c r="B87" s="1" t="n">
        <f aca="false">ISNUMBER(MATCH(A87,Inventario!D:D, 0))</f>
        <v>1</v>
      </c>
      <c r="C87" s="1" t="str">
        <f aca="false">IFERROR(INDEX(Inventario!O:O, MATCH(A87,Inventario!D:D, 0)), "")</f>
        <v>1.1.2</v>
      </c>
      <c r="D87" s="5" t="str">
        <f aca="false">IFERROR(INDEX(Inventario!M:M, MATCH(A87, Inventario!D:D, 0)), "")</f>
        <v>http://repos.bancsabadell.com/bitbucket/scm/p4cp/ms-baas-payment-rail-operations.git</v>
      </c>
      <c r="E87" s="1" t="str">
        <f aca="false">SUBSTITUTE(D87, ".git", "-conf/browse")</f>
        <v>http://repos.bancsabadell.com/bitbucket/scm/p4cp/ms-baas-payment-rail-operations-conf/browse</v>
      </c>
      <c r="F87" s="1" t="str">
        <f aca="false">CONCATENATE("release/",C87)</f>
        <v>release/1.1.2</v>
      </c>
    </row>
    <row r="88" customFormat="false" ht="12.8" hidden="false" customHeight="false" outlineLevel="0" collapsed="false">
      <c r="A88" s="1" t="s">
        <v>849</v>
      </c>
      <c r="B88" s="1" t="n">
        <f aca="false">ISNUMBER(MATCH(A88,Inventario!D:D, 0))</f>
        <v>1</v>
      </c>
      <c r="C88" s="1" t="str">
        <f aca="false">IFERROR(INDEX(Inventario!O:O, MATCH(A88,Inventario!D:D, 0)), "")</f>
        <v>1.1.5</v>
      </c>
      <c r="D88" s="5" t="str">
        <f aca="false">IFERROR(INDEX(Inventario!M:M, MATCH(A88, Inventario!D:D, 0)), "")</f>
        <v>http://repos.bancsabadell.com/bitbucket/scm/p4cp/ms-batch-payment-rail-operations-iberpay.git</v>
      </c>
      <c r="E88" s="1" t="str">
        <f aca="false">SUBSTITUTE(D88, ".git", "-conf/browse")</f>
        <v>http://repos.bancsabadell.com/bitbucket/scm/p4cp/ms-batch-payment-rail-operations-iberpay-conf/browse</v>
      </c>
      <c r="F88" s="1" t="str">
        <f aca="false">CONCATENATE("release/",C88)</f>
        <v>release/1.1.5</v>
      </c>
    </row>
    <row r="89" customFormat="false" ht="12.8" hidden="false" customHeight="false" outlineLevel="0" collapsed="false">
      <c r="A89" s="1" t="s">
        <v>2237</v>
      </c>
      <c r="B89" s="1" t="n">
        <f aca="false">ISNUMBER(MATCH(A89,Inventario!D:D, 0))</f>
        <v>1</v>
      </c>
      <c r="C89" s="1" t="str">
        <f aca="false">IFERROR(INDEX(Inventario!O:O, MATCH(A89,Inventario!D:D, 0)), "")</f>
        <v>1.0.1</v>
      </c>
      <c r="D89" s="5" t="str">
        <f aca="false">IFERROR(INDEX(Inventario!M:M, MATCH(A89, Inventario!D:D, 0)), "")</f>
        <v>http://repos.bancsabadell.com/bitbucket/scm/P4CP/ms-sys-payment-rail-operations-auxiliary.git</v>
      </c>
      <c r="E89" s="1" t="str">
        <f aca="false">SUBSTITUTE(D89, ".git", "-conf/browse")</f>
        <v>http://repos.bancsabadell.com/bitbucket/scm/P4CP/ms-sys-payment-rail-operations-auxiliary-conf/browse</v>
      </c>
      <c r="F89" s="1" t="str">
        <f aca="false">CONCATENATE("release/",C89)</f>
        <v>release/1.0.1</v>
      </c>
    </row>
    <row r="90" customFormat="false" ht="12.8" hidden="false" customHeight="false" outlineLevel="0" collapsed="false">
      <c r="A90" s="1" t="s">
        <v>1431</v>
      </c>
      <c r="B90" s="1" t="n">
        <f aca="false">ISNUMBER(MATCH(A90,Inventario!D:D, 0))</f>
        <v>1</v>
      </c>
      <c r="C90" s="1" t="str">
        <f aca="false">IFERROR(INDEX(Inventario!O:O, MATCH(A90,Inventario!D:D, 0)), "")</f>
        <v>1.1.3</v>
      </c>
      <c r="D90" s="5" t="str">
        <f aca="false">IFERROR(INDEX(Inventario!M:M, MATCH(A90, Inventario!D:D, 0)), "")</f>
        <v>http://repos.bancsabadell.com/bitbucket/scm/P4CP/ms-sys-payment-rail-operations-iberpay.git</v>
      </c>
      <c r="E90" s="1" t="str">
        <f aca="false">SUBSTITUTE(D90, ".git", "-conf/browse")</f>
        <v>http://repos.bancsabadell.com/bitbucket/scm/P4CP/ms-sys-payment-rail-operations-iberpay-conf/browse</v>
      </c>
      <c r="F90" s="1" t="str">
        <f aca="false">CONCATENATE("release/",C90)</f>
        <v>release/1.1.3</v>
      </c>
    </row>
    <row r="91" customFormat="false" ht="12.8" hidden="false" customHeight="false" outlineLevel="0" collapsed="false">
      <c r="A91" s="1" t="s">
        <v>2019</v>
      </c>
      <c r="B91" s="1" t="n">
        <f aca="false">ISNUMBER(MATCH(A91,Inventario!D:D, 0))</f>
        <v>1</v>
      </c>
      <c r="C91" s="1" t="str">
        <f aca="false">IFERROR(INDEX(Inventario!O:O, MATCH(A91,Inventario!D:D, 0)), "")</f>
        <v>1.0.1</v>
      </c>
      <c r="D91" s="5" t="str">
        <f aca="false">IFERROR(INDEX(Inventario!M:M, MATCH(A91, Inventario!D:D, 0)), "")</f>
        <v>http://repos.bancsabadell.com/bitbucket/scm/p4cp/ms-sys-payment-rail-operations-ip-unavailability.git</v>
      </c>
      <c r="E91" s="1" t="str">
        <f aca="false">SUBSTITUTE(D91, ".git", "-conf/browse")</f>
        <v>http://repos.bancsabadell.com/bitbucket/scm/p4cp/ms-sys-payment-rail-operations-ip-unavailability-conf/browse</v>
      </c>
      <c r="F91" s="1" t="str">
        <f aca="false">CONCATENATE("release/",C91)</f>
        <v>release/1.0.1</v>
      </c>
    </row>
    <row r="92" customFormat="false" ht="12.8" hidden="false" customHeight="false" outlineLevel="0" collapsed="false">
      <c r="A92" s="1" t="s">
        <v>2019</v>
      </c>
      <c r="B92" s="1" t="n">
        <f aca="false">ISNUMBER(MATCH(A92,Inventario!D:D, 0))</f>
        <v>1</v>
      </c>
      <c r="C92" s="1" t="str">
        <f aca="false">IFERROR(INDEX(Inventario!O:O, MATCH(A92,Inventario!D:D, 0)), "")</f>
        <v>1.0.1</v>
      </c>
      <c r="D92" s="5" t="str">
        <f aca="false">IFERROR(INDEX(Inventario!M:M, MATCH(A92, Inventario!D:D, 0)), "")</f>
        <v>http://repos.bancsabadell.com/bitbucket/scm/p4cp/ms-sys-payment-rail-operations-ip-unavailability.git</v>
      </c>
      <c r="E92" s="1" t="str">
        <f aca="false">SUBSTITUTE(D92, ".git", "-conf/browse")</f>
        <v>http://repos.bancsabadell.com/bitbucket/scm/p4cp/ms-sys-payment-rail-operations-ip-unavailability-conf/browse</v>
      </c>
      <c r="F92" s="1" t="str">
        <f aca="false">CONCATENATE("release/",C92)</f>
        <v>release/1.0.1</v>
      </c>
    </row>
    <row r="93" customFormat="false" ht="12.8" hidden="false" customHeight="false" outlineLevel="0" collapsed="false">
      <c r="A93" s="1" t="s">
        <v>1231</v>
      </c>
      <c r="B93" s="1" t="n">
        <f aca="false">ISNUMBER(MATCH(A93,Inventario!D:D, 0))</f>
        <v>1</v>
      </c>
      <c r="C93" s="1" t="str">
        <f aca="false">IFERROR(INDEX(Inventario!O:O, MATCH(A93,Inventario!D:D, 0)), "")</f>
        <v>1.0.0</v>
      </c>
      <c r="D93" s="5" t="str">
        <f aca="false">IFERROR(INDEX(Inventario!M:M, MATCH(A93, Inventario!D:D, 0)), "")</f>
        <v>http://repos.bancsabadell.com/bitbucket/scm/P4CP/ms-sys-payment-rail-operations-notifications-v2.git</v>
      </c>
      <c r="E93" s="1" t="str">
        <f aca="false">SUBSTITUTE(D93, ".git", "-conf/browse")</f>
        <v>http://repos.bancsabadell.com/bitbucket/scm/P4CP/ms-sys-payment-rail-operations-notifications-v2-conf/browse</v>
      </c>
      <c r="F93" s="1" t="str">
        <f aca="false">CONCATENATE("release/",C93)</f>
        <v>release/1.0.0</v>
      </c>
    </row>
    <row r="94" customFormat="false" ht="12.8" hidden="false" customHeight="false" outlineLevel="0" collapsed="false">
      <c r="A94" s="1" t="s">
        <v>2362</v>
      </c>
      <c r="B94" s="1" t="n">
        <f aca="false">ISNUMBER(MATCH(A94,Inventario!D:D, 0))</f>
        <v>1</v>
      </c>
      <c r="C94" s="1" t="str">
        <f aca="false">IFERROR(INDEX(Inventario!O:O, MATCH(A94,Inventario!D:D, 0)), "")</f>
        <v>1.0.2</v>
      </c>
      <c r="D94" s="5" t="str">
        <f aca="false">IFERROR(INDEX(Inventario!M:M, MATCH(A94, Inventario!D:D, 0)), "")</f>
        <v>http://repos.bancsabadell.com/bitbucket/scm/p4cp/ms-sys-payment-rail-operations-reception-ip.git</v>
      </c>
      <c r="E94" s="1" t="str">
        <f aca="false">SUBSTITUTE(D94, ".git", "-conf/browse")</f>
        <v>http://repos.bancsabadell.com/bitbucket/scm/p4cp/ms-sys-payment-rail-operations-reception-ip-conf/browse</v>
      </c>
      <c r="F94" s="1" t="str">
        <f aca="false">CONCATENATE("release/",C94)</f>
        <v>release/1.0.2</v>
      </c>
    </row>
    <row r="95" customFormat="false" ht="12.8" hidden="false" customHeight="false" outlineLevel="0" collapsed="false">
      <c r="A95" s="1" t="s">
        <v>1644</v>
      </c>
      <c r="B95" s="1" t="n">
        <f aca="false">ISNUMBER(MATCH(A95,Inventario!D:D, 0))</f>
        <v>1</v>
      </c>
      <c r="C95" s="1" t="str">
        <f aca="false">IFERROR(INDEX(Inventario!O:O, MATCH(A95,Inventario!D:D, 0)), "")</f>
        <v>1.0.4</v>
      </c>
      <c r="D95" s="5" t="str">
        <f aca="false">IFERROR(INDEX(Inventario!M:M, MATCH(A95, Inventario!D:D, 0)), "")</f>
        <v>http://repos.bancsabadell.com/bitbucket/scm/P4CP/ms-sys-payment-rail-operations-reclaims.git</v>
      </c>
      <c r="E95" s="1" t="str">
        <f aca="false">SUBSTITUTE(D95, ".git", "-conf/browse")</f>
        <v>http://repos.bancsabadell.com/bitbucket/scm/P4CP/ms-sys-payment-rail-operations-reclaims-conf/browse</v>
      </c>
      <c r="F95" s="1" t="str">
        <f aca="false">CONCATENATE("release/",C95)</f>
        <v>release/1.0.4</v>
      </c>
    </row>
    <row r="96" customFormat="false" ht="12.8" hidden="false" customHeight="false" outlineLevel="0" collapsed="false">
      <c r="A96" s="1" t="s">
        <v>3130</v>
      </c>
      <c r="B96" s="1" t="n">
        <f aca="false">ISNUMBER(MATCH(A96,Inventario!D:D, 0))</f>
        <v>1</v>
      </c>
      <c r="C96" s="1" t="str">
        <f aca="false">IFERROR(INDEX(Inventario!O:O, MATCH(A96,Inventario!D:D, 0)), "")</f>
        <v>1.5.4</v>
      </c>
      <c r="D96" s="5" t="str">
        <f aca="false">IFERROR(INDEX(Inventario!M:M, MATCH(A96, Inventario!D:D, 0)), "")</f>
        <v>http://repos.bancsabadell.com/bitbucket/scm/P4CP/ms-baas-appointment-reference-data-v2.git</v>
      </c>
      <c r="E96" s="1" t="str">
        <f aca="false">SUBSTITUTE(D96, ".git", "-conf/browse")</f>
        <v>http://repos.bancsabadell.com/bitbucket/scm/P4CP/ms-baas-appointment-reference-data-v2-conf/browse</v>
      </c>
      <c r="F96" s="1" t="str">
        <f aca="false">CONCATENATE("release/",C96)</f>
        <v>release/1.5.4</v>
      </c>
    </row>
    <row r="97" customFormat="false" ht="12.8" hidden="false" customHeight="false" outlineLevel="0" collapsed="false">
      <c r="A97" s="1" t="s">
        <v>2947</v>
      </c>
      <c r="B97" s="1" t="n">
        <f aca="false">ISNUMBER(MATCH(A97,Inventario!D:D, 0))</f>
        <v>1</v>
      </c>
      <c r="C97" s="1" t="str">
        <f aca="false">IFERROR(INDEX(Inventario!O:O, MATCH(A97,Inventario!D:D, 0)), "")</f>
        <v>1.2.1</v>
      </c>
      <c r="D97" s="5" t="str">
        <f aca="false">IFERROR(INDEX(Inventario!M:M, MATCH(A97, Inventario!D:D, 0)), "")</f>
        <v>http://repos.bancsabadell.com/bitbucket/scm/ESALTACLI/ms-baas-bs-accounts-aggregation.git</v>
      </c>
      <c r="E97" s="1" t="str">
        <f aca="false">SUBSTITUTE(D97, ".git", "-conf/browse")</f>
        <v>http://repos.bancsabadell.com/bitbucket/scm/ESALTACLI/ms-baas-bs-accounts-aggregation-conf/browse</v>
      </c>
      <c r="F97" s="1" t="str">
        <f aca="false">CONCATENATE("release/",C97)</f>
        <v>release/1.2.1</v>
      </c>
    </row>
    <row r="98" customFormat="false" ht="12.8" hidden="false" customHeight="false" outlineLevel="0" collapsed="false">
      <c r="A98" s="1" t="s">
        <v>2831</v>
      </c>
      <c r="B98" s="1" t="n">
        <f aca="false">ISNUMBER(MATCH(A98,Inventario!D:D, 0))</f>
        <v>1</v>
      </c>
      <c r="C98" s="1" t="str">
        <f aca="false">IFERROR(INDEX(Inventario!O:O, MATCH(A98,Inventario!D:D, 0)), "")</f>
        <v>1.1.0</v>
      </c>
      <c r="D98" s="5" t="str">
        <f aca="false">IFERROR(INDEX(Inventario!M:M, MATCH(A98, Inventario!D:D, 0)), "")</f>
        <v>http://repos.bancsabadell.com/bitbucket/scm/ESSABCONNECTEDCLIENT/ms-baas-connected-client.git</v>
      </c>
      <c r="E98" s="1" t="str">
        <f aca="false">SUBSTITUTE(D98, ".git", "-conf/browse")</f>
        <v>http://repos.bancsabadell.com/bitbucket/scm/ESSABCONNECTEDCLIENT/ms-baas-connected-client-conf/browse</v>
      </c>
      <c r="F98" s="1" t="str">
        <f aca="false">CONCATENATE("release/",C98)</f>
        <v>release/1.1.0</v>
      </c>
    </row>
    <row r="99" customFormat="false" ht="12.8" hidden="false" customHeight="false" outlineLevel="0" collapsed="false">
      <c r="A99" s="1" t="s">
        <v>2696</v>
      </c>
      <c r="B99" s="1" t="n">
        <f aca="false">ISNUMBER(MATCH(A99,Inventario!D:D, 0))</f>
        <v>1</v>
      </c>
      <c r="C99" s="1" t="str">
        <f aca="false">IFERROR(INDEX(Inventario!O:O, MATCH(A99,Inventario!D:D, 0)), "")</f>
        <v>0.1.7</v>
      </c>
      <c r="D99" s="5" t="str">
        <f aca="false">IFERROR(INDEX(Inventario!M:M, MATCH(A99, Inventario!D:D, 0)), "")</f>
        <v>http://repos.bancsabadell.com/bitbucket/scm/API-SINCERTIF/ms-baas-correos-cash-v1.git</v>
      </c>
      <c r="E99" s="1" t="str">
        <f aca="false">SUBSTITUTE(D99, ".git", "-conf/browse")</f>
        <v>http://repos.bancsabadell.com/bitbucket/scm/API-SINCERTIF/ms-baas-correos-cash-v1-conf/browse</v>
      </c>
      <c r="F99" s="1" t="str">
        <f aca="false">CONCATENATE("release/",C99)</f>
        <v>release/0.1.7</v>
      </c>
    </row>
    <row r="100" customFormat="false" ht="12.8" hidden="false" customHeight="false" outlineLevel="0" collapsed="false">
      <c r="A100" s="1" t="s">
        <v>3083</v>
      </c>
      <c r="B100" s="1" t="n">
        <f aca="false">ISNUMBER(MATCH(A100,Inventario!D:D, 0))</f>
        <v>1</v>
      </c>
      <c r="C100" s="1" t="str">
        <f aca="false">IFERROR(INDEX(Inventario!O:O, MATCH(A100,Inventario!D:D, 0)), "")</f>
        <v>1.7.3</v>
      </c>
      <c r="D100" s="5" t="str">
        <f aca="false">IFERROR(INDEX(Inventario!M:M, MATCH(A100, Inventario!D:D, 0)), "")</f>
        <v>http://repos.bancsabadell.com/bitbucket/scm/BSRENTING/ms-baas-party-reference-data.git</v>
      </c>
      <c r="E100" s="1" t="str">
        <f aca="false">SUBSTITUTE(D100, ".git", "-conf/browse")</f>
        <v>http://repos.bancsabadell.com/bitbucket/scm/BSRENTING/ms-baas-party-reference-data-conf/browse</v>
      </c>
      <c r="F100" s="1" t="str">
        <f aca="false">CONCATENATE("release/",C100)</f>
        <v>release/1.7.3</v>
      </c>
    </row>
    <row r="101" customFormat="false" ht="12.8" hidden="false" customHeight="false" outlineLevel="0" collapsed="false">
      <c r="A101" s="1" t="s">
        <v>2850</v>
      </c>
      <c r="B101" s="1" t="n">
        <f aca="false">ISNUMBER(MATCH(A101,Inventario!D:D, 0))</f>
        <v>1</v>
      </c>
      <c r="C101" s="1" t="str">
        <f aca="false">IFERROR(INDEX(Inventario!O:O, MATCH(A101,Inventario!D:D, 0)), "")</f>
        <v>1.0.0</v>
      </c>
      <c r="D101" s="5" t="str">
        <f aca="false">IFERROR(INDEX(Inventario!M:M, MATCH(A101, Inventario!D:D, 0)), "")</f>
        <v>http://repos.bancsabadell.com/bitbucket/scm/POOJJ/ms-baas-term-deposit.git</v>
      </c>
      <c r="E101" s="1" t="str">
        <f aca="false">SUBSTITUTE(D101, ".git", "-conf/browse")</f>
        <v>http://repos.bancsabadell.com/bitbucket/scm/POOJJ/ms-baas-term-deposit-conf/browse</v>
      </c>
      <c r="F101" s="1" t="str">
        <f aca="false">CONCATENATE("release/",C101)</f>
        <v>release/1.0.0</v>
      </c>
    </row>
    <row r="102" customFormat="false" ht="12.8" hidden="false" customHeight="false" outlineLevel="0" collapsed="false">
      <c r="A102" s="1" t="s">
        <v>2031</v>
      </c>
      <c r="B102" s="1" t="n">
        <f aca="false">ISNUMBER(MATCH(A102,Inventario!D:D, 0))</f>
        <v>1</v>
      </c>
      <c r="C102" s="1" t="str">
        <f aca="false">IFERROR(INDEX(Inventario!O:O, MATCH(A102,Inventario!D:D, 0)), "")</f>
        <v>1.2.7</v>
      </c>
      <c r="D102" s="5" t="str">
        <f aca="false">IFERROR(INDEX(Inventario!M:M, MATCH(A102, Inventario!D:D, 0)), "")</f>
        <v>http://repos.bancsabadell.com/bitbucket/scm/ESALTACLI/ms-sys-bs-accounts-aggregation.git</v>
      </c>
      <c r="E102" s="1" t="str">
        <f aca="false">SUBSTITUTE(D102, ".git", "-conf/browse")</f>
        <v>http://repos.bancsabadell.com/bitbucket/scm/ESALTACLI/ms-sys-bs-accounts-aggregation-conf/browse</v>
      </c>
      <c r="F102" s="1" t="str">
        <f aca="false">CONCATENATE("release/",C102)</f>
        <v>release/1.2.7</v>
      </c>
    </row>
    <row r="103" customFormat="false" ht="12.8" hidden="false" customHeight="false" outlineLevel="0" collapsed="false">
      <c r="A103" s="1" t="s">
        <v>2457</v>
      </c>
      <c r="B103" s="1" t="n">
        <f aca="false">ISNUMBER(MATCH(A103,Inventario!D:D, 0))</f>
        <v>1</v>
      </c>
      <c r="C103" s="1" t="str">
        <f aca="false">IFERROR(INDEX(Inventario!O:O, MATCH(A103,Inventario!D:D, 0)), "")</f>
        <v>1.1.2</v>
      </c>
      <c r="D103" s="5" t="str">
        <f aca="false">IFERROR(INDEX(Inventario!M:M, MATCH(A103, Inventario!D:D, 0)), "")</f>
        <v>http://repos.bancsabadell.com/bitbucket/scm/ESSABCONNECTEDCLIENT/ms-sys-connected-client-db.git</v>
      </c>
      <c r="E103" s="1" t="str">
        <f aca="false">SUBSTITUTE(D103, ".git", "-conf/browse")</f>
        <v>http://repos.bancsabadell.com/bitbucket/scm/ESSABCONNECTEDCLIENT/ms-sys-connected-client-db-conf/browse</v>
      </c>
      <c r="F103" s="1" t="str">
        <f aca="false">CONCATENATE("release/",C103)</f>
        <v>release/1.1.2</v>
      </c>
    </row>
    <row r="104" customFormat="false" ht="12.8" hidden="false" customHeight="false" outlineLevel="0" collapsed="false">
      <c r="A104" s="1" t="s">
        <v>1058</v>
      </c>
      <c r="B104" s="1" t="n">
        <f aca="false">ISNUMBER(MATCH(A104,Inventario!D:D, 0))</f>
        <v>1</v>
      </c>
      <c r="C104" s="1" t="str">
        <f aca="false">IFERROR(INDEX(Inventario!O:O, MATCH(A104,Inventario!D:D, 0)), "")</f>
        <v>0.1.3</v>
      </c>
      <c r="D104" s="5" t="str">
        <f aca="false">IFERROR(INDEX(Inventario!M:M, MATCH(A104, Inventario!D:D, 0)), "")</f>
        <v>http://repos.bancsabadell.com/bitbucket/scm/API-SINCERTIF/ms-sys-correos-cash-accounts-v1.git</v>
      </c>
      <c r="E104" s="1" t="str">
        <f aca="false">SUBSTITUTE(D104, ".git", "-conf/browse")</f>
        <v>http://repos.bancsabadell.com/bitbucket/scm/API-SINCERTIF/ms-sys-correos-cash-accounts-v1-conf/browse</v>
      </c>
      <c r="F104" s="1" t="str">
        <f aca="false">CONCATENATE("release/",C104)</f>
        <v>release/0.1.3</v>
      </c>
    </row>
    <row r="105" customFormat="false" ht="12.8" hidden="false" customHeight="false" outlineLevel="0" collapsed="false">
      <c r="A105" s="1" t="s">
        <v>1265</v>
      </c>
      <c r="B105" s="1" t="n">
        <f aca="false">ISNUMBER(MATCH(A105,Inventario!D:D, 0))</f>
        <v>1</v>
      </c>
      <c r="C105" s="1" t="str">
        <f aca="false">IFERROR(INDEX(Inventario!O:O, MATCH(A105,Inventario!D:D, 0)), "")</f>
        <v>0.1.4</v>
      </c>
      <c r="D105" s="5" t="str">
        <f aca="false">IFERROR(INDEX(Inventario!M:M, MATCH(A105, Inventario!D:D, 0)), "")</f>
        <v>http://repos.bancsabadell.com/bitbucket/scm/API-SINCERTIF/ms-sys-correos-cash-people-v1.git</v>
      </c>
      <c r="E105" s="1" t="str">
        <f aca="false">SUBSTITUTE(D105, ".git", "-conf/browse")</f>
        <v>http://repos.bancsabadell.com/bitbucket/scm/API-SINCERTIF/ms-sys-correos-cash-people-v1-conf/browse</v>
      </c>
      <c r="F105" s="1" t="str">
        <f aca="false">CONCATENATE("release/",C105)</f>
        <v>release/0.1.4</v>
      </c>
    </row>
    <row r="106" customFormat="false" ht="12.8" hidden="false" customHeight="false" outlineLevel="0" collapsed="false">
      <c r="A106" s="1" t="s">
        <v>1993</v>
      </c>
      <c r="B106" s="1" t="n">
        <f aca="false">ISNUMBER(MATCH(A106,Inventario!D:D, 0))</f>
        <v>1</v>
      </c>
      <c r="C106" s="1" t="str">
        <f aca="false">IFERROR(INDEX(Inventario!O:O, MATCH(A106,Inventario!D:D, 0)), "")</f>
        <v>1.0.1</v>
      </c>
      <c r="D106" s="5" t="str">
        <f aca="false">IFERROR(INDEX(Inventario!M:M, MATCH(A106, Inventario!D:D, 0)), "")</f>
        <v>http://repos.bancsabadell.com/bitbucket/scm/POOJJ/ms-sys-customer-offer-pz.git</v>
      </c>
      <c r="E106" s="1" t="str">
        <f aca="false">SUBSTITUTE(D106, ".git", "-conf/browse")</f>
        <v>http://repos.bancsabadell.com/bitbucket/scm/POOJJ/ms-sys-customer-offer-pz-conf/browse</v>
      </c>
      <c r="F106" s="1" t="str">
        <f aca="false">CONCATENATE("release/",C106)</f>
        <v>release/1.0.1</v>
      </c>
    </row>
    <row r="107" customFormat="false" ht="12.8" hidden="true" customHeight="false" outlineLevel="0" collapsed="false">
      <c r="A107" s="1" t="s">
        <v>3151</v>
      </c>
      <c r="B107" s="1" t="n">
        <f aca="false">ISNUMBER(MATCH(A107,Inventario!D:D, 0))</f>
        <v>0</v>
      </c>
      <c r="C107" s="1" t="str">
        <f aca="false">IFERROR(INDEX(Inventario!O:O, MATCH(A107,Inventario!D:D, 0)), "")</f>
        <v/>
      </c>
      <c r="D107" s="5" t="str">
        <f aca="false">IFERROR(INDEX(Inventario!M:M, MATCH(A107, Inventario!D:D, 0)), "")</f>
        <v/>
      </c>
      <c r="E107" s="1" t="str">
        <f aca="false">SUBSTITUTE(D107, ".git", "-conf")</f>
        <v/>
      </c>
    </row>
    <row r="108" customFormat="false" ht="12.8" hidden="false" customHeight="false" outlineLevel="0" collapsed="false">
      <c r="A108" s="1" t="s">
        <v>1361</v>
      </c>
      <c r="B108" s="1" t="n">
        <f aca="false">ISNUMBER(MATCH(A108,Inventario!D:D, 0))</f>
        <v>1</v>
      </c>
      <c r="C108" s="1" t="str">
        <f aca="false">IFERROR(INDEX(Inventario!O:O, MATCH(A108,Inventario!D:D, 0)), "")</f>
        <v>0.0.2</v>
      </c>
      <c r="D108" s="5" t="str">
        <f aca="false">IFERROR(INDEX(Inventario!M:M, MATCH(A108, Inventario!D:D, 0)), "")</f>
        <v>http://repos.bancsabadell.com/bitbucket/scm/P4CP/ms-sys-legal-entity-directory-ee-v1.git</v>
      </c>
      <c r="E108" s="1" t="str">
        <f aca="false">SUBSTITUTE(D108, ".git", "-conf/browse")</f>
        <v>http://repos.bancsabadell.com/bitbucket/scm/P4CP/ms-sys-legal-entity-directory-ee-v1-conf/browse</v>
      </c>
      <c r="F108" s="1" t="str">
        <f aca="false">CONCATENATE("release/",C108)</f>
        <v>release/0.0.2</v>
      </c>
    </row>
    <row r="109" customFormat="false" ht="12.8" hidden="false" customHeight="false" outlineLevel="0" collapsed="false">
      <c r="A109" s="1" t="s">
        <v>1484</v>
      </c>
      <c r="B109" s="1" t="n">
        <f aca="false">ISNUMBER(MATCH(A109,Inventario!D:D, 0))</f>
        <v>1</v>
      </c>
      <c r="C109" s="1" t="str">
        <f aca="false">IFERROR(INDEX(Inventario!O:O, MATCH(A109,Inventario!D:D, 0)), "")</f>
        <v>1.0.2</v>
      </c>
      <c r="D109" s="5" t="str">
        <f aca="false">IFERROR(INDEX(Inventario!M:M, MATCH(A109, Inventario!D:D, 0)), "")</f>
        <v>http://repos.bancsabadell.com/bitbucket/scm/P4CP/ms-sys-legal-entity-directory-pe-v1.git</v>
      </c>
      <c r="E109" s="1" t="str">
        <f aca="false">SUBSTITUTE(D109, ".git", "-conf/browse")</f>
        <v>http://repos.bancsabadell.com/bitbucket/scm/P4CP/ms-sys-legal-entity-directory-pe-v1-conf/browse</v>
      </c>
      <c r="F109" s="1" t="str">
        <f aca="false">CONCATENATE("release/",C109)</f>
        <v>release/1.0.2</v>
      </c>
    </row>
    <row r="110" customFormat="false" ht="12.8" hidden="false" customHeight="false" outlineLevel="0" collapsed="false">
      <c r="A110" s="1" t="s">
        <v>2167</v>
      </c>
      <c r="B110" s="1" t="n">
        <f aca="false">ISNUMBER(MATCH(A110,Inventario!D:D, 0))</f>
        <v>1</v>
      </c>
      <c r="C110" s="1" t="str">
        <f aca="false">IFERROR(INDEX(Inventario!O:O, MATCH(A110,Inventario!D:D, 0)), "")</f>
        <v>1.6.2</v>
      </c>
      <c r="D110" s="5" t="str">
        <f aca="false">IFERROR(INDEX(Inventario!M:M, MATCH(A110, Inventario!D:D, 0)), "")</f>
        <v>http://repos.bancsabadell.com/bitbucket/scm/P4CP/ms-sys-party-reference-data-pe.git</v>
      </c>
      <c r="E110" s="1" t="str">
        <f aca="false">SUBSTITUTE(D110, ".git", "-conf/browse")</f>
        <v>http://repos.bancsabadell.com/bitbucket/scm/P4CP/ms-sys-party-reference-data-pe-conf/browse</v>
      </c>
      <c r="F110" s="1" t="str">
        <f aca="false">CONCATENATE("release/",C110)</f>
        <v>release/1.6.2</v>
      </c>
    </row>
    <row r="111" customFormat="false" ht="12.8" hidden="false" customHeight="false" outlineLevel="0" collapsed="false">
      <c r="A111" s="1" t="s">
        <v>1567</v>
      </c>
      <c r="B111" s="1" t="n">
        <f aca="false">ISNUMBER(MATCH(A111,Inventario!D:D, 0))</f>
        <v>1</v>
      </c>
      <c r="C111" s="1" t="str">
        <f aca="false">IFERROR(INDEX(Inventario!O:O, MATCH(A111,Inventario!D:D, 0)), "")</f>
        <v>1.0.6</v>
      </c>
      <c r="D111" s="5" t="str">
        <f aca="false">IFERROR(INDEX(Inventario!M:M, MATCH(A111, Inventario!D:D, 0)), "")</f>
        <v>http://repos.bancsabadell.com/bitbucket/scm/P4CP/ms-sys-party-reference-data-pe-v2.git</v>
      </c>
      <c r="E111" s="1" t="str">
        <f aca="false">SUBSTITUTE(D111, ".git", "-conf/browse")</f>
        <v>http://repos.bancsabadell.com/bitbucket/scm/P4CP/ms-sys-party-reference-data-pe-v2-conf/browse</v>
      </c>
      <c r="F111" s="1" t="str">
        <f aca="false">CONCATENATE("release/",C111)</f>
        <v>release/1.0.6</v>
      </c>
    </row>
    <row r="112" customFormat="false" ht="12.8" hidden="false" customHeight="false" outlineLevel="0" collapsed="false">
      <c r="A112" s="1" t="s">
        <v>1184</v>
      </c>
      <c r="B112" s="1" t="n">
        <f aca="false">ISNUMBER(MATCH(A112,Inventario!D:D, 0))</f>
        <v>1</v>
      </c>
      <c r="C112" s="1" t="str">
        <f aca="false">IFERROR(INDEX(Inventario!O:O, MATCH(A112,Inventario!D:D, 0)), "")</f>
        <v>1.10.4</v>
      </c>
      <c r="D112" s="5" t="str">
        <f aca="false">IFERROR(INDEX(Inventario!M:M, MATCH(A112, Inventario!D:D, 0)), "")</f>
        <v>http://repos.bancsabadell.com/bitbucket/scm/MOBI/ms-sys-party-reference-data-pe-v3.git</v>
      </c>
      <c r="E112" s="1" t="str">
        <f aca="false">SUBSTITUTE(D112, ".git", "-conf/browse")</f>
        <v>http://repos.bancsabadell.com/bitbucket/scm/MOBI/ms-sys-party-reference-data-pe-v3-conf/browse</v>
      </c>
      <c r="F112" s="1" t="str">
        <f aca="false">CONCATENATE("release/",C112)</f>
        <v>release/1.10.4</v>
      </c>
    </row>
    <row r="113" customFormat="false" ht="12.8" hidden="false" customHeight="false" outlineLevel="0" collapsed="false">
      <c r="A113" s="1" t="s">
        <v>1678</v>
      </c>
      <c r="B113" s="1" t="n">
        <f aca="false">ISNUMBER(MATCH(A113,Inventario!D:D, 0))</f>
        <v>1</v>
      </c>
      <c r="C113" s="1" t="str">
        <f aca="false">IFERROR(INDEX(Inventario!O:O, MATCH(A113,Inventario!D:D, 0)), "")</f>
        <v>1.0.0</v>
      </c>
      <c r="D113" s="5" t="str">
        <f aca="false">IFERROR(INDEX(Inventario!M:M, MATCH(A113, Inventario!D:D, 0)), "")</f>
        <v>http://repos.bancsabadell.com/bitbucket/scm/ESSABCONNECTEDCLIENT/ms-sys-pe-connected-client.git</v>
      </c>
      <c r="E113" s="1" t="str">
        <f aca="false">SUBSTITUTE(D113, ".git", "-conf/browse")</f>
        <v>http://repos.bancsabadell.com/bitbucket/scm/ESSABCONNECTEDCLIENT/ms-sys-pe-connected-client-conf/browse</v>
      </c>
      <c r="F113" s="1" t="str">
        <f aca="false">CONCATENATE("release/",C113)</f>
        <v>release/1.0.0</v>
      </c>
    </row>
    <row r="114" customFormat="false" ht="12.8" hidden="false" customHeight="false" outlineLevel="0" collapsed="false">
      <c r="A114" s="1" t="s">
        <v>1030</v>
      </c>
      <c r="B114" s="1" t="n">
        <f aca="false">ISNUMBER(MATCH(A114,Inventario!D:D, 0))</f>
        <v>1</v>
      </c>
      <c r="C114" s="1" t="str">
        <f aca="false">IFERROR(INDEX(Inventario!O:O, MATCH(A114,Inventario!D:D, 0)), "")</f>
        <v>1.0.1</v>
      </c>
      <c r="D114" s="5" t="str">
        <f aca="false">IFERROR(INDEX(Inventario!M:M, MATCH(A114, Inventario!D:D, 0)), "")</f>
        <v>http://repos.bancsabadell.com/bitbucket/scm/POOJJ/ms-sys-product-directory-kc.git</v>
      </c>
      <c r="E114" s="1" t="str">
        <f aca="false">SUBSTITUTE(D114, ".git", "-conf/browse")</f>
        <v>http://repos.bancsabadell.com/bitbucket/scm/POOJJ/ms-sys-product-directory-kc-conf/browse</v>
      </c>
      <c r="F114" s="1" t="str">
        <f aca="false">CONCATENATE("release/",C114)</f>
        <v>release/1.0.1</v>
      </c>
    </row>
    <row r="115" customFormat="false" ht="12.8" hidden="false" customHeight="false" outlineLevel="0" collapsed="false">
      <c r="A115" s="1" t="s">
        <v>1929</v>
      </c>
      <c r="B115" s="1" t="n">
        <f aca="false">ISNUMBER(MATCH(A115,Inventario!D:D, 0))</f>
        <v>1</v>
      </c>
      <c r="C115" s="1" t="str">
        <f aca="false">IFERROR(INDEX(Inventario!O:O, MATCH(A115,Inventario!D:D, 0)), "")</f>
        <v>1.0.5</v>
      </c>
      <c r="D115" s="5" t="str">
        <f aca="false">IFERROR(INDEX(Inventario!M:M, MATCH(A115, Inventario!D:D, 0)), "")</f>
        <v>http://repos.bancsabadell.com/bitbucket/scm/P4CP/ms-sys-public-reference-data-management-dv.git</v>
      </c>
      <c r="E115" s="1" t="str">
        <f aca="false">SUBSTITUTE(D115, ".git", "-conf/browse")</f>
        <v>http://repos.bancsabadell.com/bitbucket/scm/P4CP/ms-sys-public-reference-data-management-dv-conf/browse</v>
      </c>
      <c r="F115" s="1" t="str">
        <f aca="false">CONCATENATE("release/",C115)</f>
        <v>release/1.0.5</v>
      </c>
    </row>
    <row r="116" customFormat="false" ht="12.8" hidden="false" customHeight="false" outlineLevel="0" collapsed="false">
      <c r="A116" s="1" t="s">
        <v>2927</v>
      </c>
      <c r="B116" s="1" t="n">
        <f aca="false">ISNUMBER(MATCH(A116,Inventario!D:D, 0))</f>
        <v>1</v>
      </c>
      <c r="C116" s="1" t="str">
        <f aca="false">IFERROR(INDEX(Inventario!O:O, MATCH(A116,Inventario!D:D, 0)), "")</f>
        <v>0.1.3</v>
      </c>
      <c r="D116" s="5" t="str">
        <f aca="false">IFERROR(INDEX(Inventario!M:M, MATCH(A116, Inventario!D:D, 0)), "")</f>
        <v>http://repos.bancsabadell.com/bitbucket/scm/mobi/ms-baas-legal-entity-directory-pe-v1.git</v>
      </c>
      <c r="E116" s="1" t="str">
        <f aca="false">SUBSTITUTE(D116, ".git", "-conf/browse")</f>
        <v>http://repos.bancsabadell.com/bitbucket/scm/mobi/ms-baas-legal-entity-directory-pe-v1-conf/browse</v>
      </c>
      <c r="F116" s="1" t="str">
        <f aca="false">CONCATENATE("release/",C116)</f>
        <v>release/0.1.3</v>
      </c>
    </row>
    <row r="117" customFormat="false" ht="12.8" hidden="false" customHeight="false" outlineLevel="0" collapsed="false">
      <c r="A117" s="1" t="s">
        <v>842</v>
      </c>
      <c r="B117" s="1" t="n">
        <f aca="false">ISNUMBER(MATCH(A117,Inventario!D:D, 0))</f>
        <v>1</v>
      </c>
      <c r="C117" s="1" t="str">
        <f aca="false">IFERROR(INDEX(Inventario!O:O, MATCH(A117,Inventario!D:D, 0)), "")</f>
        <v>1.0.3</v>
      </c>
      <c r="D117" s="5" t="str">
        <f aca="false">IFERROR(INDEX(Inventario!M:M, MATCH(A117, Inventario!D:D, 0)), "")</f>
        <v>http://repos.bancsabadell.com/bitbucket/scm/ESSABCONNECTEDCLIENT/ms-batch-connected-client.git</v>
      </c>
      <c r="E117" s="1" t="str">
        <f aca="false">SUBSTITUTE(D117, ".git", "-conf/browse")</f>
        <v>http://repos.bancsabadell.com/bitbucket/scm/ESSABCONNECTEDCLIENT/ms-batch-connected-client-conf/browse</v>
      </c>
      <c r="F117" s="1" t="str">
        <f aca="false">CONCATENATE("release/",C117)</f>
        <v>release/1.0.3</v>
      </c>
    </row>
    <row r="118" customFormat="false" ht="12.8" hidden="false" customHeight="false" outlineLevel="0" collapsed="false">
      <c r="A118" s="1" t="s">
        <v>963</v>
      </c>
      <c r="B118" s="1" t="n">
        <f aca="false">ISNUMBER(MATCH(A118,Inventario!D:D, 0))</f>
        <v>1</v>
      </c>
      <c r="C118" s="1" t="str">
        <f aca="false">IFERROR(INDEX(Inventario!O:O, MATCH(A118,Inventario!D:D, 0)), "")</f>
        <v>2.0.4</v>
      </c>
      <c r="D118" s="5" t="str">
        <f aca="false">IFERROR(INDEX(Inventario!M:M, MATCH(A118, Inventario!D:D, 0)), "")</f>
        <v>http://repos.bancsabadell.com/bitbucket/scm/INFO/ms-batch-informa-docu-pe.git</v>
      </c>
      <c r="E118" s="1" t="str">
        <f aca="false">SUBSTITUTE(D118, ".git", "-conf/browse")</f>
        <v>http://repos.bancsabadell.com/bitbucket/scm/INFO/ms-batch-informa-docu-pe-conf/browse</v>
      </c>
      <c r="F118" s="1" t="str">
        <f aca="false">CONCATENATE("release/",C118)</f>
        <v>release/2.0.4</v>
      </c>
    </row>
    <row r="119" customFormat="false" ht="12.8" hidden="false" customHeight="false" outlineLevel="0" collapsed="false">
      <c r="A119" s="1" t="s">
        <v>2636</v>
      </c>
      <c r="B119" s="1" t="n">
        <f aca="false">ISNUMBER(MATCH(A119,Inventario!D:D, 0))</f>
        <v>1</v>
      </c>
      <c r="C119" s="1" t="str">
        <f aca="false">IFERROR(INDEX(Inventario!O:O, MATCH(A119,Inventario!D:D, 0)), "")</f>
        <v>1.0.4</v>
      </c>
      <c r="D119" s="5" t="str">
        <f aca="false">IFERROR(INDEX(Inventario!M:M, MATCH(A119, Inventario!D:D, 0)), "")</f>
        <v>http://repos.bancsabadell.com/bitbucket/scm/PCCM/ms-baas-pccm.git</v>
      </c>
      <c r="E119" s="1" t="str">
        <f aca="false">SUBSTITUTE(D119, ".git", "-conf/browse")</f>
        <v>http://repos.bancsabadell.com/bitbucket/scm/PCCM/ms-baas-pccm-conf/browse</v>
      </c>
      <c r="F119" s="1" t="str">
        <f aca="false">CONCATENATE("release/",C119)</f>
        <v>release/1.0.4</v>
      </c>
    </row>
    <row r="120" customFormat="false" ht="12.8" hidden="false" customHeight="false" outlineLevel="0" collapsed="false">
      <c r="A120" s="1" t="s">
        <v>1670</v>
      </c>
      <c r="B120" s="1" t="n">
        <f aca="false">ISNUMBER(MATCH(A120,Inventario!D:D, 0))</f>
        <v>1</v>
      </c>
      <c r="C120" s="1" t="str">
        <f aca="false">IFERROR(INDEX(Inventario!O:O, MATCH(A120,Inventario!D:D, 0)), "")</f>
        <v>1.0.13</v>
      </c>
      <c r="D120" s="5" t="str">
        <f aca="false">IFERROR(INDEX(Inventario!M:M, MATCH(A120, Inventario!D:D, 0)), "")</f>
        <v>http://repos.bancsabadell.com/bitbucket/scm/PCCM/ms-sys-pccm.git</v>
      </c>
      <c r="E120" s="1" t="str">
        <f aca="false">SUBSTITUTE(D120, ".git", "-conf/browse")</f>
        <v>http://repos.bancsabadell.com/bitbucket/scm/PCCM/ms-sys-pccm-conf/browse</v>
      </c>
      <c r="F120" s="1" t="str">
        <f aca="false">CONCATENATE("release/",C120)</f>
        <v>release/1.0.13</v>
      </c>
    </row>
    <row r="121" customFormat="false" ht="12.8" hidden="false" customHeight="false" outlineLevel="0" collapsed="false">
      <c r="A121" s="1" t="s">
        <v>1806</v>
      </c>
      <c r="B121" s="1" t="n">
        <f aca="false">ISNUMBER(MATCH(A121,Inventario!D:D, 0))</f>
        <v>1</v>
      </c>
      <c r="C121" s="1" t="str">
        <f aca="false">IFERROR(INDEX(Inventario!O:O, MATCH(A121,Inventario!D:D, 0)), "")</f>
        <v>1.0.6</v>
      </c>
      <c r="D121" s="5" t="str">
        <f aca="false">IFERROR(INDEX(Inventario!M:M, MATCH(A121, Inventario!D:D, 0)), "")</f>
        <v>http://repos.bancsabadell.com/bitbucket/scm/P4CP/ms-sys-customer-credit-rating-sp-scoring.git</v>
      </c>
      <c r="E121" s="1" t="str">
        <f aca="false">SUBSTITUTE(D121, ".git", "-conf/browse")</f>
        <v>http://repos.bancsabadell.com/bitbucket/scm/P4CP/ms-sys-customer-credit-rating-sp-scoring-conf/browse</v>
      </c>
      <c r="F121" s="1" t="str">
        <f aca="false">CONCATENATE("release/",C121)</f>
        <v>release/1.0.6</v>
      </c>
    </row>
    <row r="122" customFormat="false" ht="12.8" hidden="false" customHeight="false" outlineLevel="0" collapsed="false">
      <c r="A122" s="1" t="s">
        <v>3089</v>
      </c>
      <c r="B122" s="1" t="n">
        <f aca="false">ISNUMBER(MATCH(A122,Inventario!D:D, 0))</f>
        <v>1</v>
      </c>
      <c r="C122" s="1" t="str">
        <f aca="false">IFERROR(INDEX(Inventario!O:O, MATCH(A122,Inventario!D:D, 0)), "")</f>
        <v>0.1.28</v>
      </c>
      <c r="D122" s="5" t="str">
        <f aca="false">IFERROR(INDEX(Inventario!M:M, MATCH(A122, Inventario!D:D, 0)), "")</f>
        <v>http://repos.bancsabadell.com/bitbucket/scm/ER/ms-baas-er-minorista.git</v>
      </c>
      <c r="E122" s="1" t="str">
        <f aca="false">SUBSTITUTE(D122, ".git", "-conf/browse")</f>
        <v>http://repos.bancsabadell.com/bitbucket/scm/ER/ms-baas-er-minorista-conf/browse</v>
      </c>
      <c r="F122" s="1" t="str">
        <f aca="false">CONCATENATE("release/",C122)</f>
        <v>release/0.1.28</v>
      </c>
    </row>
    <row r="123" customFormat="false" ht="12.8" hidden="false" customHeight="false" outlineLevel="0" collapsed="false">
      <c r="A123" s="1" t="s">
        <v>1368</v>
      </c>
      <c r="B123" s="1" t="n">
        <f aca="false">ISNUMBER(MATCH(A123,Inventario!D:D, 0))</f>
        <v>1</v>
      </c>
      <c r="C123" s="1" t="str">
        <f aca="false">IFERROR(INDEX(Inventario!O:O, MATCH(A123,Inventario!D:D, 0)), "")</f>
        <v>0.1.9</v>
      </c>
      <c r="D123" s="5" t="str">
        <f aca="false">IFERROR(INDEX(Inventario!M:M, MATCH(A123, Inventario!D:D, 0)), "")</f>
        <v>http://repos.bancsabadell.com/bitbucket/scm/ER/ms-sys-er-minorista-mo.git</v>
      </c>
      <c r="E123" s="1" t="str">
        <f aca="false">SUBSTITUTE(D123, ".git", "-conf/browse")</f>
        <v>http://repos.bancsabadell.com/bitbucket/scm/ER/ms-sys-er-minorista-mo-conf/browse</v>
      </c>
      <c r="F123" s="1" t="str">
        <f aca="false">CONCATENATE("release/",C123)</f>
        <v>release/0.1.9</v>
      </c>
    </row>
    <row r="124" customFormat="false" ht="12.8" hidden="false" customHeight="false" outlineLevel="0" collapsed="false">
      <c r="A124" s="1" t="s">
        <v>1390</v>
      </c>
      <c r="B124" s="1" t="n">
        <f aca="false">ISNUMBER(MATCH(A124,Inventario!D:D, 0))</f>
        <v>1</v>
      </c>
      <c r="C124" s="1" t="str">
        <f aca="false">IFERROR(INDEX(Inventario!O:O, MATCH(A124,Inventario!D:D, 0)), "")</f>
        <v>0.1.5</v>
      </c>
      <c r="D124" s="5" t="str">
        <f aca="false">IFERROR(INDEX(Inventario!M:M, MATCH(A124, Inventario!D:D, 0)), "")</f>
        <v>http://repos.bancsabadell.com/bitbucket/scm/ER/ms-sys-er-minorista-sp.git</v>
      </c>
      <c r="E124" s="1" t="str">
        <f aca="false">SUBSTITUTE(D124, ".git", "-conf/browse")</f>
        <v>http://repos.bancsabadell.com/bitbucket/scm/ER/ms-sys-er-minorista-sp-conf/browse</v>
      </c>
      <c r="F124" s="1" t="str">
        <f aca="false">CONCATENATE("release/",C124)</f>
        <v>release/0.1.5</v>
      </c>
    </row>
    <row r="125" customFormat="false" ht="12.8" hidden="false" customHeight="false" outlineLevel="0" collapsed="false">
      <c r="A125" s="1" t="s">
        <v>3017</v>
      </c>
      <c r="B125" s="1" t="n">
        <f aca="false">ISNUMBER(MATCH(A125,Inventario!D:D, 0))</f>
        <v>1</v>
      </c>
      <c r="C125" s="1" t="str">
        <f aca="false">IFERROR(INDEX(Inventario!O:O, MATCH(A125,Inventario!D:D, 0)), "")</f>
        <v>1.1.9</v>
      </c>
      <c r="D125" s="5" t="str">
        <f aca="false">IFERROR(INDEX(Inventario!M:M, MATCH(A125, Inventario!D:D, 0)), "")</f>
        <v>http://repos.bancsabadell.com/bitbucket/scm/EXPERIAN/ms-baas-bureaux.git</v>
      </c>
      <c r="E125" s="1" t="str">
        <f aca="false">SUBSTITUTE(D125, ".git", "-conf/browse")</f>
        <v>http://repos.bancsabadell.com/bitbucket/scm/EXPERIAN/ms-baas-bureaux-conf/browse</v>
      </c>
      <c r="F125" s="1" t="str">
        <f aca="false">CONCATENATE("release/",C125)</f>
        <v>release/1.1.9</v>
      </c>
    </row>
    <row r="126" customFormat="false" ht="12.8" hidden="false" customHeight="false" outlineLevel="0" collapsed="false">
      <c r="A126" s="1" t="s">
        <v>1457</v>
      </c>
      <c r="B126" s="1" t="n">
        <f aca="false">ISNUMBER(MATCH(A126,Inventario!D:D, 0))</f>
        <v>1</v>
      </c>
      <c r="C126" s="1" t="str">
        <f aca="false">IFERROR(INDEX(Inventario!O:O, MATCH(A126,Inventario!D:D, 0)), "")</f>
        <v>1.0.0</v>
      </c>
      <c r="D126" s="5" t="str">
        <f aca="false">IFERROR(INDEX(Inventario!M:M, MATCH(A126, Inventario!D:D, 0)), "")</f>
        <v>http://repos.bancsabadell.com/bitbucket/scm/P4CP/ms-sys-delinquent-account-handling-em.git</v>
      </c>
      <c r="E126" s="1" t="str">
        <f aca="false">SUBSTITUTE(D126, ".git", "-conf/browse")</f>
        <v>http://repos.bancsabadell.com/bitbucket/scm/P4CP/ms-sys-delinquent-account-handling-em-conf/browse</v>
      </c>
      <c r="F126" s="1" t="str">
        <f aca="false">CONCATENATE("release/",C126)</f>
        <v>release/1.0.0</v>
      </c>
    </row>
    <row r="127" customFormat="false" ht="12.8" hidden="false" customHeight="false" outlineLevel="0" collapsed="false">
      <c r="A127" s="1" t="s">
        <v>1522</v>
      </c>
      <c r="B127" s="1" t="n">
        <f aca="false">ISNUMBER(MATCH(A127,Inventario!D:D, 0))</f>
        <v>1</v>
      </c>
      <c r="C127" s="1" t="str">
        <f aca="false">IFERROR(INDEX(Inventario!O:O, MATCH(A127,Inventario!D:D, 0)), "")</f>
        <v>0.1.10</v>
      </c>
      <c r="D127" s="5" t="str">
        <f aca="false">IFERROR(INDEX(Inventario!M:M, MATCH(A127, Inventario!D:D, 0)), "")</f>
        <v>http://repos.bancsabadell.com/bitbucket/scm/ER/ms-sys-er-minorista-bn.git</v>
      </c>
      <c r="E127" s="1" t="str">
        <f aca="false">SUBSTITUTE(D127, ".git", "-conf/browse")</f>
        <v>http://repos.bancsabadell.com/bitbucket/scm/ER/ms-sys-er-minorista-bn-conf/browse</v>
      </c>
      <c r="F127" s="1" t="str">
        <f aca="false">CONCATENATE("release/",C127)</f>
        <v>release/0.1.10</v>
      </c>
    </row>
    <row r="128" customFormat="false" ht="12.8" hidden="false" customHeight="false" outlineLevel="0" collapsed="false">
      <c r="A128" s="1" t="s">
        <v>2370</v>
      </c>
      <c r="B128" s="1" t="n">
        <f aca="false">ISNUMBER(MATCH(A128,Inventario!D:D, 0))</f>
        <v>1</v>
      </c>
      <c r="C128" s="1" t="str">
        <f aca="false">IFERROR(INDEX(Inventario!O:O, MATCH(A128,Inventario!D:D, 0)), "")</f>
        <v>1.29.5</v>
      </c>
      <c r="D128" s="5" t="str">
        <f aca="false">IFERROR(INDEX(Inventario!M:M, MATCH(A128, Inventario!D:D, 0)), "")</f>
        <v>http://repos.bancsabadell.com/bitbucket/scm/ER/ms-sys-er-minorista-ex.git</v>
      </c>
      <c r="E128" s="1" t="str">
        <f aca="false">SUBSTITUTE(D128, ".git", "-conf/browse")</f>
        <v>http://repos.bancsabadell.com/bitbucket/scm/ER/ms-sys-er-minorista-ex-conf/browse</v>
      </c>
      <c r="F128" s="1" t="str">
        <f aca="false">CONCATENATE("release/",C128)</f>
        <v>release/1.29.5</v>
      </c>
    </row>
    <row r="129" customFormat="false" ht="12.8" hidden="false" customHeight="false" outlineLevel="0" collapsed="false">
      <c r="A129" s="1" t="s">
        <v>1065</v>
      </c>
      <c r="B129" s="1" t="n">
        <f aca="false">ISNUMBER(MATCH(A129,Inventario!D:D, 0))</f>
        <v>1</v>
      </c>
      <c r="C129" s="1" t="str">
        <f aca="false">IFERROR(INDEX(Inventario!O:O, MATCH(A129,Inventario!D:D, 0)), "")</f>
        <v>0.1.6</v>
      </c>
      <c r="D129" s="5" t="str">
        <f aca="false">IFERROR(INDEX(Inventario!M:M, MATCH(A129, Inventario!D:D, 0)), "")</f>
        <v>http://repos.bancsabadell.com/bitbucket/scm/ER/ms-sys-er-minorista-ij.git</v>
      </c>
      <c r="E129" s="1" t="str">
        <f aca="false">SUBSTITUTE(D129, ".git", "-conf/browse")</f>
        <v>http://repos.bancsabadell.com/bitbucket/scm/ER/ms-sys-er-minorista-ij-conf/browse</v>
      </c>
      <c r="F129" s="1" t="str">
        <f aca="false">CONCATENATE("release/",C129)</f>
        <v>release/0.1.6</v>
      </c>
    </row>
    <row r="130" customFormat="false" ht="12.8" hidden="false" customHeight="false" outlineLevel="0" collapsed="false">
      <c r="A130" s="1" t="s">
        <v>1411</v>
      </c>
      <c r="B130" s="1" t="n">
        <f aca="false">ISNUMBER(MATCH(A130,Inventario!D:D, 0))</f>
        <v>1</v>
      </c>
      <c r="C130" s="1" t="str">
        <f aca="false">IFERROR(INDEX(Inventario!O:O, MATCH(A130,Inventario!D:D, 0)), "")</f>
        <v>0.1.11</v>
      </c>
      <c r="D130" s="5" t="str">
        <f aca="false">IFERROR(INDEX(Inventario!M:M, MATCH(A130, Inventario!D:D, 0)), "")</f>
        <v>http://repos.bancsabadell.com/bitbucket/scm/ER/ms-sys-er-minorista-ry.git</v>
      </c>
      <c r="E130" s="1" t="str">
        <f aca="false">SUBSTITUTE(D130, ".git", "-conf/browse")</f>
        <v>http://repos.bancsabadell.com/bitbucket/scm/ER/ms-sys-er-minorista-ry-conf/browse</v>
      </c>
      <c r="F130" s="1" t="str">
        <f aca="false">CONCATENATE("release/",C130)</f>
        <v>release/0.1.11</v>
      </c>
    </row>
    <row r="131" customFormat="false" ht="12.8" hidden="false" customHeight="false" outlineLevel="0" collapsed="false">
      <c r="A131" s="1" t="s">
        <v>2492</v>
      </c>
      <c r="B131" s="1" t="n">
        <f aca="false">ISNUMBER(MATCH(A131,Inventario!D:D, 0))</f>
        <v>1</v>
      </c>
      <c r="C131" s="1" t="str">
        <f aca="false">IFERROR(INDEX(Inventario!O:O, MATCH(A131,Inventario!D:D, 0)), "")</f>
        <v>1.0.2</v>
      </c>
      <c r="D131" s="5" t="str">
        <f aca="false">IFERROR(INDEX(Inventario!M:M, MATCH(A131, Inventario!D:D, 0)), "")</f>
        <v>http://repos.bancsabadell.com/bitbucket/scm/p4cp/ms-baas-jst-document-processing.git</v>
      </c>
      <c r="E131" s="1" t="str">
        <f aca="false">SUBSTITUTE(D131, ".git", "-conf/browse")</f>
        <v>http://repos.bancsabadell.com/bitbucket/scm/p4cp/ms-baas-jst-document-processing-conf/browse</v>
      </c>
      <c r="F131" s="1" t="str">
        <f aca="false">CONCATENATE("release/",C131)</f>
        <v>release/1.0.2</v>
      </c>
    </row>
    <row r="132" customFormat="false" ht="12.8" hidden="false" customHeight="false" outlineLevel="0" collapsed="false">
      <c r="A132" s="1" t="s">
        <v>3008</v>
      </c>
      <c r="B132" s="1" t="n">
        <f aca="false">ISNUMBER(MATCH(A132,Inventario!D:D, 0))</f>
        <v>1</v>
      </c>
      <c r="C132" s="1" t="str">
        <f aca="false">IFERROR(INDEX(Inventario!O:O, MATCH(A132,Inventario!D:D, 0)), "")</f>
        <v>0.1.15</v>
      </c>
      <c r="D132" s="5" t="str">
        <f aca="false">IFERROR(INDEX(Inventario!M:M, MATCH(A132, Inventario!D:D, 0)), "")</f>
        <v>http://repos.bancsabadell.com/bitbucket/scm/ESRAROC/ms-baas-creditmanagement.git</v>
      </c>
      <c r="E132" s="1" t="str">
        <f aca="false">SUBSTITUTE(D132, ".git", "-conf/browse")</f>
        <v>http://repos.bancsabadell.com/bitbucket/scm/ESRAROC/ms-baas-creditmanagement-conf/browse</v>
      </c>
      <c r="F132" s="1" t="str">
        <f aca="false">CONCATENATE("release/",C132)</f>
        <v>release/0.1.15</v>
      </c>
    </row>
    <row r="133" customFormat="false" ht="12.8" hidden="false" customHeight="false" outlineLevel="0" collapsed="false">
      <c r="A133" s="1" t="s">
        <v>2175</v>
      </c>
      <c r="B133" s="1" t="n">
        <f aca="false">ISNUMBER(MATCH(A133,Inventario!D:D, 0))</f>
        <v>1</v>
      </c>
      <c r="C133" s="1" t="str">
        <f aca="false">IFERROR(INDEX(Inventario!O:O, MATCH(A133,Inventario!D:D, 0)), "")</f>
        <v>0.3.17</v>
      </c>
      <c r="D133" s="5" t="str">
        <f aca="false">IFERROR(INDEX(Inventario!M:M, MATCH(A133, Inventario!D:D, 0)), "")</f>
        <v>http://repos.bancsabadell.com/bitbucket/scm/ESRAROC/ms-sys-creditmanagement.git</v>
      </c>
      <c r="E133" s="1" t="str">
        <f aca="false">SUBSTITUTE(D133, ".git", "-conf/browse")</f>
        <v>http://repos.bancsabadell.com/bitbucket/scm/ESRAROC/ms-sys-creditmanagement-conf/browse</v>
      </c>
      <c r="F133" s="1" t="str">
        <f aca="false">CONCATENATE("release/",C133)</f>
        <v>release/0.3.17</v>
      </c>
    </row>
    <row r="134" customFormat="false" ht="12.8" hidden="false" customHeight="false" outlineLevel="0" collapsed="false">
      <c r="A134" s="1" t="s">
        <v>2038</v>
      </c>
      <c r="B134" s="1" t="n">
        <f aca="false">ISNUMBER(MATCH(A134,Inventario!D:D, 0))</f>
        <v>1</v>
      </c>
      <c r="C134" s="1" t="str">
        <f aca="false">IFERROR(INDEX(Inventario!O:O, MATCH(A134,Inventario!D:D, 0)), "")</f>
        <v>0.0.3</v>
      </c>
      <c r="D134" s="5" t="str">
        <f aca="false">IFERROR(INDEX(Inventario!M:M, MATCH(A134, Inventario!D:D, 0)), "")</f>
        <v>http://repos.bancsabadell.com/bitbucket/scm/P4CP/ms-sys-customer-position-system-ri-v1.git</v>
      </c>
      <c r="E134" s="1" t="str">
        <f aca="false">SUBSTITUTE(D134, ".git", "-conf/browse")</f>
        <v>http://repos.bancsabadell.com/bitbucket/scm/P4CP/ms-sys-customer-position-system-ri-v1-conf/browse</v>
      </c>
      <c r="F134" s="1" t="str">
        <f aca="false">CONCATENATE("release/",C134)</f>
        <v>release/0.0.3</v>
      </c>
    </row>
    <row r="135" customFormat="false" ht="12.8" hidden="false" customHeight="false" outlineLevel="0" collapsed="false">
      <c r="A135" s="1" t="s">
        <v>888</v>
      </c>
      <c r="B135" s="1" t="n">
        <f aca="false">ISNUMBER(MATCH(A135,Inventario!D:D, 0))</f>
        <v>1</v>
      </c>
      <c r="C135" s="1" t="str">
        <f aca="false">IFERROR(INDEX(Inventario!O:O, MATCH(A135,Inventario!D:D, 0)), "")</f>
        <v>1.1.0</v>
      </c>
      <c r="D135" s="5" t="str">
        <f aca="false">IFERROR(INDEX(Inventario!M:M, MATCH(A135, Inventario!D:D, 0)), "")</f>
        <v>http://repos.bancsabadell.com/bitbucket/scm/POOJJ/ms-batch-async-cgpj.git</v>
      </c>
      <c r="E135" s="1" t="str">
        <f aca="false">SUBSTITUTE(D135, ".git", "-conf/browse")</f>
        <v>http://repos.bancsabadell.com/bitbucket/scm/POOJJ/ms-batch-async-cgpj-conf/browse</v>
      </c>
      <c r="F135" s="1" t="str">
        <f aca="false">CONCATENATE("release/",C135)</f>
        <v>release/1.1.0</v>
      </c>
    </row>
    <row r="136" customFormat="false" ht="12.8" hidden="false" customHeight="false" outlineLevel="0" collapsed="false">
      <c r="A136" s="1" t="s">
        <v>2885</v>
      </c>
      <c r="B136" s="1" t="n">
        <f aca="false">ISNUMBER(MATCH(A136,Inventario!D:D, 0))</f>
        <v>1</v>
      </c>
      <c r="C136" s="1" t="str">
        <f aca="false">IFERROR(INDEX(Inventario!O:O, MATCH(A136,Inventario!D:D, 0)), "")</f>
        <v>1.0.6</v>
      </c>
      <c r="D136" s="5" t="str">
        <f aca="false">IFERROR(INDEX(Inventario!M:M, MATCH(A136, Inventario!D:D, 0)), "")</f>
        <v>http://repos.bancsabadell.com/bitbucket/scm/poojj/ms-baas-regulatory-and-legal-authority.git</v>
      </c>
      <c r="E136" s="1" t="str">
        <f aca="false">SUBSTITUTE(D136, ".git", "-conf/browse")</f>
        <v>http://repos.bancsabadell.com/bitbucket/scm/poojj/ms-baas-regulatory-and-legal-authority-conf/browse</v>
      </c>
      <c r="F136" s="1" t="str">
        <f aca="false">CONCATENATE("release/",C136)</f>
        <v>release/1.0.6</v>
      </c>
    </row>
    <row r="137" customFormat="false" ht="12.8" hidden="false" customHeight="false" outlineLevel="0" collapsed="false">
      <c r="A137" s="1" t="s">
        <v>2478</v>
      </c>
      <c r="B137" s="1" t="n">
        <f aca="false">ISNUMBER(MATCH(A137,Inventario!D:D, 0))</f>
        <v>1</v>
      </c>
      <c r="C137" s="1" t="str">
        <f aca="false">IFERROR(INDEX(Inventario!O:O, MATCH(A137,Inventario!D:D, 0)), "")</f>
        <v>1.0.5</v>
      </c>
      <c r="D137" s="5" t="str">
        <f aca="false">IFERROR(INDEX(Inventario!M:M, MATCH(A137, Inventario!D:D, 0)), "")</f>
        <v>http://repos.bancsabadell.com/bitbucket/scm/POOJJ/ms-baas-regulatory-and-legal-authority-v2.git</v>
      </c>
      <c r="E137" s="1" t="str">
        <f aca="false">SUBSTITUTE(D137, ".git", "-conf/browse")</f>
        <v>http://repos.bancsabadell.com/bitbucket/scm/POOJJ/ms-baas-regulatory-and-legal-authority-v2-conf/browse</v>
      </c>
      <c r="F137" s="1" t="str">
        <f aca="false">CONCATENATE("release/",C137)</f>
        <v>release/1.0.5</v>
      </c>
    </row>
    <row r="138" customFormat="false" ht="12.8" hidden="false" customHeight="false" outlineLevel="0" collapsed="false">
      <c r="A138" s="1" t="s">
        <v>2257</v>
      </c>
      <c r="B138" s="1" t="n">
        <f aca="false">ISNUMBER(MATCH(A138,Inventario!D:D, 0))</f>
        <v>1</v>
      </c>
      <c r="C138" s="1" t="str">
        <f aca="false">IFERROR(INDEX(Inventario!O:O, MATCH(A138,Inventario!D:D, 0)), "")</f>
        <v>1.0.5</v>
      </c>
      <c r="D138" s="5" t="str">
        <f aca="false">IFERROR(INDEX(Inventario!M:M, MATCH(A138, Inventario!D:D, 0)), "")</f>
        <v>http://repos.bancsabadell.com/bitbucket/scm/POOJJ/ms-sys-current-account-kc.git</v>
      </c>
      <c r="E138" s="1" t="str">
        <f aca="false">SUBSTITUTE(D138, ".git", "-conf/browse")</f>
        <v>http://repos.bancsabadell.com/bitbucket/scm/POOJJ/ms-sys-current-account-kc-conf/browse</v>
      </c>
      <c r="F138" s="1" t="str">
        <f aca="false">CONCATENATE("release/",C138)</f>
        <v>release/1.0.5</v>
      </c>
    </row>
    <row r="139" customFormat="false" ht="12.8" hidden="false" customHeight="false" outlineLevel="0" collapsed="false">
      <c r="A139" s="1" t="s">
        <v>1138</v>
      </c>
      <c r="B139" s="1" t="n">
        <f aca="false">ISNUMBER(MATCH(A139,Inventario!D:D, 0))</f>
        <v>1</v>
      </c>
      <c r="C139" s="1" t="str">
        <f aca="false">IFERROR(INDEX(Inventario!O:O, MATCH(A139,Inventario!D:D, 0)), "")</f>
        <v>1.0.3</v>
      </c>
      <c r="D139" s="5" t="str">
        <f aca="false">IFERROR(INDEX(Inventario!M:M, MATCH(A139, Inventario!D:D, 0)), "")</f>
        <v>http://repos.bancsabadell.com/bitbucket/scm/poojj/ms-sys-regulatory-and-legal-authority.git</v>
      </c>
      <c r="E139" s="1" t="str">
        <f aca="false">SUBSTITUTE(D139, ".git", "-conf/browse")</f>
        <v>http://repos.bancsabadell.com/bitbucket/scm/poojj/ms-sys-regulatory-and-legal-authority-conf/browse</v>
      </c>
      <c r="F139" s="1" t="str">
        <f aca="false">CONCATENATE("release/",C139)</f>
        <v>release/1.0.3</v>
      </c>
    </row>
    <row r="140" customFormat="false" ht="12.8" hidden="false" customHeight="false" outlineLevel="0" collapsed="false">
      <c r="A140" s="1" t="s">
        <v>2532</v>
      </c>
      <c r="B140" s="1" t="n">
        <f aca="false">ISNUMBER(MATCH(A140,Inventario!D:D, 0))</f>
        <v>1</v>
      </c>
      <c r="C140" s="1" t="str">
        <f aca="false">IFERROR(INDEX(Inventario!O:O, MATCH(A140,Inventario!D:D, 0)), "")</f>
        <v>1.0.4</v>
      </c>
      <c r="D140" s="5" t="str">
        <f aca="false">IFERROR(INDEX(Inventario!M:M, MATCH(A140, Inventario!D:D, 0)), "")</f>
        <v>http://repos.bancsabadell.com/bitbucket/scm/P4CP/ms-baas-customer-access-entitlement-v1.git</v>
      </c>
      <c r="E140" s="1" t="str">
        <f aca="false">SUBSTITUTE(D140, ".git", "-conf/browse")</f>
        <v>http://repos.bancsabadell.com/bitbucket/scm/P4CP/ms-baas-customer-access-entitlement-v1-conf/browse</v>
      </c>
      <c r="F140" s="1" t="str">
        <f aca="false">CONCATENATE("release/",C140)</f>
        <v>release/1.0.4</v>
      </c>
    </row>
    <row r="141" customFormat="false" ht="12.8" hidden="false" customHeight="false" outlineLevel="0" collapsed="false">
      <c r="A141" s="1" t="s">
        <v>2210</v>
      </c>
      <c r="B141" s="1" t="n">
        <f aca="false">ISNUMBER(MATCH(A141,Inventario!D:D, 0))</f>
        <v>1</v>
      </c>
      <c r="C141" s="1" t="str">
        <f aca="false">IFERROR(INDEX(Inventario!O:O, MATCH(A141,Inventario!D:D, 0)), "")</f>
        <v>1.0.9</v>
      </c>
      <c r="D141" s="5" t="str">
        <f aca="false">IFERROR(INDEX(Inventario!M:M, MATCH(A141, Inventario!D:D, 0)), "")</f>
        <v>http://repos.bancsabadell.com/bitbucket/scm/P4CP/ms-sys-customer-access-entitlement.git</v>
      </c>
      <c r="E141" s="1" t="str">
        <f aca="false">SUBSTITUTE(D141, ".git", "-conf/browse")</f>
        <v>http://repos.bancsabadell.com/bitbucket/scm/P4CP/ms-sys-customer-access-entitlement-conf/browse</v>
      </c>
      <c r="F141" s="1" t="str">
        <f aca="false">CONCATENATE("release/",C141)</f>
        <v>release/1.0.9</v>
      </c>
    </row>
    <row r="142" customFormat="false" ht="12.8" hidden="false" customHeight="false" outlineLevel="0" collapsed="false">
      <c r="A142" s="1" t="s">
        <v>2291</v>
      </c>
      <c r="B142" s="1" t="n">
        <f aca="false">ISNUMBER(MATCH(A142,Inventario!D:D, 0))</f>
        <v>1</v>
      </c>
      <c r="C142" s="1" t="str">
        <f aca="false">IFERROR(INDEX(Inventario!O:O, MATCH(A142,Inventario!D:D, 0)), "")</f>
        <v>0.0.14</v>
      </c>
      <c r="D142" s="5" t="str">
        <f aca="false">IFERROR(INDEX(Inventario!M:M, MATCH(A142, Inventario!D:D, 0)), "")</f>
        <v>http://repos.bancsabadell.com/bitbucket/scm/P4CP/ms-sys-customer-access-entitlement-oa-v1.git</v>
      </c>
      <c r="E142" s="1" t="str">
        <f aca="false">SUBSTITUTE(D142, ".git", "-conf/browse")</f>
        <v>http://repos.bancsabadell.com/bitbucket/scm/P4CP/ms-sys-customer-access-entitlement-oa-v1-conf/browse</v>
      </c>
      <c r="F142" s="1" t="str">
        <f aca="false">CONCATENATE("release/",C142)</f>
        <v>release/0.0.14</v>
      </c>
    </row>
    <row r="143" customFormat="false" ht="12.8" hidden="false" customHeight="false" outlineLevel="0" collapsed="false">
      <c r="A143" s="1" t="s">
        <v>2231</v>
      </c>
      <c r="B143" s="1" t="n">
        <f aca="false">ISNUMBER(MATCH(A143,Inventario!D:D, 0))</f>
        <v>1</v>
      </c>
      <c r="C143" s="1" t="str">
        <f aca="false">IFERROR(INDEX(Inventario!O:O, MATCH(A143,Inventario!D:D, 0)), "")</f>
        <v>1.0.1</v>
      </c>
      <c r="D143" s="5" t="str">
        <f aca="false">IFERROR(INDEX(Inventario!M:M, MATCH(A143, Inventario!D:D, 0)), "")</f>
        <v>http://repos.bancsabadell.com/bitbucket/scm/P4CP/ms-sys-customer-access-entitlement-pe-v1.git</v>
      </c>
      <c r="E143" s="1" t="str">
        <f aca="false">SUBSTITUTE(D143, ".git", "-conf/browse")</f>
        <v>http://repos.bancsabadell.com/bitbucket/scm/P4CP/ms-sys-customer-access-entitlement-pe-v1-conf/browse</v>
      </c>
      <c r="F143" s="1" t="str">
        <f aca="false">CONCATENATE("release/",C143)</f>
        <v>release/1.0.1</v>
      </c>
    </row>
    <row r="144" customFormat="false" ht="12.8" hidden="false" customHeight="false" outlineLevel="0" collapsed="false">
      <c r="A144" s="1" t="s">
        <v>1052</v>
      </c>
      <c r="B144" s="1" t="n">
        <f aca="false">ISNUMBER(MATCH(A144,Inventario!D:D, 0))</f>
        <v>1</v>
      </c>
      <c r="C144" s="1" t="str">
        <f aca="false">IFERROR(INDEX(Inventario!O:O, MATCH(A144,Inventario!D:D, 0)), "")</f>
        <v>1.0.4</v>
      </c>
      <c r="D144" s="5" t="str">
        <f aca="false">IFERROR(INDEX(Inventario!M:M, MATCH(A144, Inventario!D:D, 0)), "")</f>
        <v>http://repos.bancsabadell.com/bitbucket/scm/p4cp/ms-sys-customer-product-and-service-bd-v1.git</v>
      </c>
      <c r="E144" s="1" t="str">
        <f aca="false">SUBSTITUTE(D144, ".git", "-conf/browse")</f>
        <v>http://repos.bancsabadell.com/bitbucket/scm/p4cp/ms-sys-customer-product-and-service-bd-v1-conf/browse</v>
      </c>
      <c r="F144" s="1" t="str">
        <f aca="false">CONCATENATE("release/",C144)</f>
        <v>release/1.0.4</v>
      </c>
    </row>
    <row r="145" customFormat="false" ht="12.8" hidden="false" customHeight="false" outlineLevel="0" collapsed="false">
      <c r="A145" s="1" t="s">
        <v>2812</v>
      </c>
      <c r="B145" s="1" t="n">
        <f aca="false">ISNUMBER(MATCH(A145,Inventario!D:D, 0))</f>
        <v>1</v>
      </c>
      <c r="C145" s="1" t="str">
        <f aca="false">IFERROR(INDEX(Inventario!O:O, MATCH(A145,Inventario!D:D, 0)), "")</f>
        <v>1.0.1</v>
      </c>
      <c r="D145" s="5" t="str">
        <f aca="false">IFERROR(INDEX(Inventario!M:M, MATCH(A145, Inventario!D:D, 0)), "")</f>
        <v>http://repos.bancsabadell.com/bitbucket/scm/P4CP/ms-baas-customer-product-and-service-eligibility.git</v>
      </c>
      <c r="E145" s="1" t="str">
        <f aca="false">SUBSTITUTE(D145, ".git", "-conf/browse")</f>
        <v>http://repos.bancsabadell.com/bitbucket/scm/P4CP/ms-baas-customer-product-and-service-eligibility-conf/browse</v>
      </c>
      <c r="F145" s="1" t="str">
        <f aca="false">CONCATENATE("release/",C145)</f>
        <v>release/1.0.1</v>
      </c>
    </row>
    <row r="146" customFormat="false" ht="12.8" hidden="false" customHeight="false" outlineLevel="0" collapsed="false">
      <c r="A146" s="1" t="s">
        <v>2444</v>
      </c>
      <c r="B146" s="1" t="n">
        <f aca="false">ISNUMBER(MATCH(A146,Inventario!D:D, 0))</f>
        <v>1</v>
      </c>
      <c r="C146" s="1" t="str">
        <f aca="false">IFERROR(INDEX(Inventario!O:O, MATCH(A146,Inventario!D:D, 0)), "")</f>
        <v>1.0.2</v>
      </c>
      <c r="D146" s="5" t="str">
        <f aca="false">IFERROR(INDEX(Inventario!M:M, MATCH(A146, Inventario!D:D, 0)), "")</f>
        <v>http://repos.bancsabadell.com/bitbucket/scm/P4CP/ms-sys-customer-product-and-service-eligibility-oa.git</v>
      </c>
      <c r="E146" s="1" t="str">
        <f aca="false">SUBSTITUTE(D146, ".git", "-conf/browse")</f>
        <v>http://repos.bancsabadell.com/bitbucket/scm/P4CP/ms-sys-customer-product-and-service-eligibility-oa-conf/browse</v>
      </c>
      <c r="F146" s="1" t="str">
        <f aca="false">CONCATENATE("release/",C146)</f>
        <v>release/1.0.2</v>
      </c>
    </row>
    <row r="147" customFormat="false" ht="12.8" hidden="false" customHeight="false" outlineLevel="0" collapsed="false">
      <c r="A147" s="1" t="s">
        <v>2872</v>
      </c>
      <c r="B147" s="1" t="n">
        <f aca="false">ISNUMBER(MATCH(A147,Inventario!D:D, 0))</f>
        <v>1</v>
      </c>
      <c r="C147" s="1" t="str">
        <f aca="false">IFERROR(INDEX(Inventario!O:O, MATCH(A147,Inventario!D:D, 0)), "")</f>
        <v>0.0.8</v>
      </c>
      <c r="D147" s="5" t="str">
        <f aca="false">IFERROR(INDEX(Inventario!M:M, MATCH(A147, Inventario!D:D, 0)), "")</f>
        <v>http://repos.bancsabadell.com/bitbucket/scm/p4cp/ms-baas-employees-reference-data-directory-v1.git</v>
      </c>
      <c r="E147" s="1" t="str">
        <f aca="false">SUBSTITUTE(D147, ".git", "-conf/browse")</f>
        <v>http://repos.bancsabadell.com/bitbucket/scm/p4cp/ms-baas-employees-reference-data-directory-v1-conf/browse</v>
      </c>
      <c r="F147" s="1" t="str">
        <f aca="false">CONCATENATE("release/",C147)</f>
        <v>release/0.0.8</v>
      </c>
    </row>
    <row r="148" customFormat="false" ht="12.8" hidden="false" customHeight="false" outlineLevel="0" collapsed="false">
      <c r="A148" s="1" t="s">
        <v>2610</v>
      </c>
      <c r="B148" s="1" t="n">
        <f aca="false">ISNUMBER(MATCH(A148,Inventario!D:D, 0))</f>
        <v>1</v>
      </c>
      <c r="C148" s="1" t="str">
        <f aca="false">IFERROR(INDEX(Inventario!O:O, MATCH(A148,Inventario!D:D, 0)), "")</f>
        <v>1.0.6</v>
      </c>
      <c r="D148" s="5" t="str">
        <f aca="false">IFERROR(INDEX(Inventario!M:M, MATCH(A148, Inventario!D:D, 0)), "")</f>
        <v>http://repos.bancsabadell.com/bitbucket/scm/ESSABPHISHING/ms-baas-fraud-evaluation.git</v>
      </c>
      <c r="E148" s="1" t="str">
        <f aca="false">SUBSTITUTE(D148, ".git", "-conf/browse")</f>
        <v>http://repos.bancsabadell.com/bitbucket/scm/ESSABPHISHING/ms-baas-fraud-evaluation-conf/browse</v>
      </c>
      <c r="F148" s="1" t="str">
        <f aca="false">CONCATENATE("release/",C148)</f>
        <v>release/1.0.6</v>
      </c>
    </row>
    <row r="149" customFormat="false" ht="12.8" hidden="false" customHeight="false" outlineLevel="0" collapsed="false">
      <c r="A149" s="1" t="s">
        <v>2270</v>
      </c>
      <c r="B149" s="1" t="n">
        <f aca="false">ISNUMBER(MATCH(A149,Inventario!D:D, 0))</f>
        <v>1</v>
      </c>
      <c r="C149" s="1" t="str">
        <f aca="false">IFERROR(INDEX(Inventario!O:O, MATCH(A149,Inventario!D:D, 0)), "")</f>
        <v>0.2.3</v>
      </c>
      <c r="D149" s="5" t="str">
        <f aca="false">IFERROR(INDEX(Inventario!M:M, MATCH(A149, Inventario!D:D, 0)), "")</f>
        <v>http://repos.bancsabadell.com/bitbucket/scm/P4CP/ms-sys-customer-product-and-service-eleg-oa-v2.git</v>
      </c>
      <c r="E149" s="1" t="str">
        <f aca="false">SUBSTITUTE(D149, ".git", "-conf/browse")</f>
        <v>http://repos.bancsabadell.com/bitbucket/scm/P4CP/ms-sys-customer-product-and-service-eleg-oa-v2-conf/browse</v>
      </c>
      <c r="F149" s="1" t="str">
        <f aca="false">CONCATENATE("release/",C149)</f>
        <v>release/0.2.3</v>
      </c>
    </row>
    <row r="150" customFormat="false" ht="12.8" hidden="false" customHeight="false" outlineLevel="0" collapsed="false">
      <c r="A150" s="1" t="s">
        <v>2184</v>
      </c>
      <c r="B150" s="1" t="n">
        <f aca="false">ISNUMBER(MATCH(A150,Inventario!D:D, 0))</f>
        <v>1</v>
      </c>
      <c r="C150" s="1" t="str">
        <f aca="false">IFERROR(INDEX(Inventario!O:O, MATCH(A150,Inventario!D:D, 0)), "")</f>
        <v>1.0.0</v>
      </c>
      <c r="D150" s="5" t="str">
        <f aca="false">IFERROR(INDEX(Inventario!M:M, MATCH(A150, Inventario!D:D, 0)), "")</f>
        <v>http://repos.bancsabadell.com/bitbucket/scm/MOBI/ms-sys-party-reference-data-bd-v1.git</v>
      </c>
      <c r="E150" s="1" t="str">
        <f aca="false">SUBSTITUTE(D150, ".git", "-conf/browse")</f>
        <v>http://repos.bancsabadell.com/bitbucket/scm/MOBI/ms-sys-party-reference-data-bd-v1-conf/browse</v>
      </c>
      <c r="F150" s="1" t="str">
        <f aca="false">CONCATENATE("release/",C150)</f>
        <v>release/1.0.0</v>
      </c>
    </row>
    <row r="151" customFormat="false" ht="12.8" hidden="false" customHeight="false" outlineLevel="0" collapsed="false">
      <c r="A151" s="1" t="s">
        <v>2996</v>
      </c>
      <c r="B151" s="1" t="n">
        <f aca="false">ISNUMBER(MATCH(A151,Inventario!D:D, 0))</f>
        <v>1</v>
      </c>
      <c r="C151" s="1" t="str">
        <f aca="false">IFERROR(INDEX(Inventario!O:O, MATCH(A151,Inventario!D:D, 0)), "")</f>
        <v>1.0.3</v>
      </c>
      <c r="D151" s="5" t="str">
        <f aca="false">IFERROR(INDEX(Inventario!M:M, MATCH(A151, Inventario!D:D, 0)), "")</f>
        <v>http://repos.bancsabadell.com/bitbucket/scm/P4CP/ms-baas-card-financial-settlement.git</v>
      </c>
      <c r="E151" s="1" t="str">
        <f aca="false">SUBSTITUTE(D151, ".git", "-conf/browse")</f>
        <v>http://repos.bancsabadell.com/bitbucket/scm/P4CP/ms-baas-card-financial-settlement-conf/browse</v>
      </c>
      <c r="F151" s="1" t="str">
        <f aca="false">CONCATENATE("release/",C151)</f>
        <v>release/1.0.3</v>
      </c>
    </row>
    <row r="152" customFormat="false" ht="12.8" hidden="false" customHeight="false" outlineLevel="0" collapsed="false">
      <c r="A152" s="1" t="s">
        <v>1251</v>
      </c>
      <c r="B152" s="1" t="n">
        <f aca="false">ISNUMBER(MATCH(A152,Inventario!D:D, 0))</f>
        <v>1</v>
      </c>
      <c r="C152" s="1" t="str">
        <f aca="false">IFERROR(INDEX(Inventario!O:O, MATCH(A152,Inventario!D:D, 0)), "")</f>
        <v>1.1.9</v>
      </c>
      <c r="D152" s="5" t="str">
        <f aca="false">IFERROR(INDEX(Inventario!M:M, MATCH(A152, Inventario!D:D, 0)), "")</f>
        <v>http://repos.bancsabadell.com/bitbucket/scm/P4CP/ms-sys-card-hiring-ih.git</v>
      </c>
      <c r="E152" s="1" t="str">
        <f aca="false">SUBSTITUTE(D152, ".git", "-conf/browse")</f>
        <v>http://repos.bancsabadell.com/bitbucket/scm/P4CP/ms-sys-card-hiring-ih-conf/browse</v>
      </c>
      <c r="F152" s="1" t="str">
        <f aca="false">CONCATENATE("release/",C152)</f>
        <v>release/1.1.9</v>
      </c>
    </row>
    <row r="153" customFormat="false" ht="12.8" hidden="false" customHeight="false" outlineLevel="0" collapsed="false">
      <c r="A153" s="1" t="s">
        <v>2642</v>
      </c>
      <c r="B153" s="1" t="n">
        <f aca="false">ISNUMBER(MATCH(A153,Inventario!D:D, 0))</f>
        <v>1</v>
      </c>
      <c r="C153" s="1" t="str">
        <f aca="false">IFERROR(INDEX(Inventario!O:O, MATCH(A153,Inventario!D:D, 0)), "")</f>
        <v>2.1.19</v>
      </c>
      <c r="D153" s="5" t="str">
        <f aca="false">IFERROR(INDEX(Inventario!M:M, MATCH(A153, Inventario!D:D, 0)), "")</f>
        <v>http://repos.bancsabadell.com/bitbucket/scm/P4CP/ms-baas-card-v2.git</v>
      </c>
      <c r="E153" s="1" t="str">
        <f aca="false">SUBSTITUTE(D153, ".git", "-conf/browse")</f>
        <v>http://repos.bancsabadell.com/bitbucket/scm/P4CP/ms-baas-card-v2-conf/browse</v>
      </c>
      <c r="F153" s="1" t="str">
        <f aca="false">CONCATENATE("release/",C153)</f>
        <v>release/2.1.19</v>
      </c>
    </row>
    <row r="154" customFormat="false" ht="12.8" hidden="false" customHeight="false" outlineLevel="0" collapsed="false">
      <c r="A154" s="1" t="s">
        <v>1010</v>
      </c>
      <c r="B154" s="1" t="n">
        <f aca="false">ISNUMBER(MATCH(A154,Inventario!D:D, 0))</f>
        <v>1</v>
      </c>
      <c r="C154" s="1" t="str">
        <f aca="false">IFERROR(INDEX(Inventario!O:O, MATCH(A154,Inventario!D:D, 0)), "")</f>
        <v>1.0.8</v>
      </c>
      <c r="D154" s="5" t="str">
        <f aca="false">IFERROR(INDEX(Inventario!M:M, MATCH(A154, Inventario!D:D, 0)), "")</f>
        <v>http://repos.bancsabadell.com/bitbucket/scm/P4CP/ms-sys-card-details-ih.git</v>
      </c>
      <c r="E154" s="1" t="str">
        <f aca="false">SUBSTITUTE(D154, ".git", "-conf/browse")</f>
        <v>http://repos.bancsabadell.com/bitbucket/scm/P4CP/ms-sys-card-details-ih-conf/browse</v>
      </c>
      <c r="F154" s="1" t="str">
        <f aca="false">CONCATENATE("release/",C154)</f>
        <v>release/1.0.8</v>
      </c>
    </row>
    <row r="155" customFormat="false" ht="12.8" hidden="false" customHeight="false" outlineLevel="0" collapsed="false">
      <c r="A155" s="1" t="s">
        <v>2940</v>
      </c>
      <c r="B155" s="1" t="n">
        <f aca="false">ISNUMBER(MATCH(A155,Inventario!D:D, 0))</f>
        <v>1</v>
      </c>
      <c r="C155" s="1" t="str">
        <f aca="false">IFERROR(INDEX(Inventario!O:O, MATCH(A155,Inventario!D:D, 0)), "")</f>
        <v>1.1.17</v>
      </c>
      <c r="D155" s="5" t="str">
        <f aca="false">IFERROR(INDEX(Inventario!M:M, MATCH(A155, Inventario!D:D, 0)), "")</f>
        <v>http://repos.bancsabadell.com/bitbucket/scm/P4CP/ms-baas-card-hiring.git</v>
      </c>
      <c r="E155" s="1" t="str">
        <f aca="false">SUBSTITUTE(D155, ".git", "-conf/browse")</f>
        <v>http://repos.bancsabadell.com/bitbucket/scm/P4CP/ms-baas-card-hiring-conf/browse</v>
      </c>
      <c r="F155" s="1" t="str">
        <f aca="false">CONCATENATE("release/",C155)</f>
        <v>release/1.1.17</v>
      </c>
    </row>
    <row r="156" customFormat="false" ht="12.8" hidden="false" customHeight="false" outlineLevel="0" collapsed="false">
      <c r="A156" s="1" t="s">
        <v>2959</v>
      </c>
      <c r="B156" s="1" t="n">
        <f aca="false">ISNUMBER(MATCH(A156,Inventario!D:D, 0))</f>
        <v>1</v>
      </c>
      <c r="C156" s="1" t="str">
        <f aca="false">IFERROR(INDEX(Inventario!O:O, MATCH(A156,Inventario!D:D, 0)), "")</f>
        <v>1.0.6</v>
      </c>
      <c r="D156" s="5" t="str">
        <f aca="false">IFERROR(INDEX(Inventario!M:M, MATCH(A156, Inventario!D:D, 0)), "")</f>
        <v>http://repos.bancsabadell.com/bitbucket/scm/P4CP/ms-baas-cards-redsys-v1.git</v>
      </c>
      <c r="E156" s="1" t="str">
        <f aca="false">SUBSTITUTE(D156, ".git", "-conf/browse")</f>
        <v>http://repos.bancsabadell.com/bitbucket/scm/P4CP/ms-baas-cards-redsys-v1-conf/browse</v>
      </c>
      <c r="F156" s="1" t="str">
        <f aca="false">CONCATENATE("release/",C156)</f>
        <v>release/1.0.6</v>
      </c>
    </row>
    <row r="157" customFormat="false" ht="12.8" hidden="false" customHeight="false" outlineLevel="0" collapsed="false">
      <c r="A157" s="1" t="s">
        <v>2818</v>
      </c>
      <c r="B157" s="1" t="n">
        <f aca="false">ISNUMBER(MATCH(A157,Inventario!D:D, 0))</f>
        <v>1</v>
      </c>
      <c r="C157" s="1" t="str">
        <f aca="false">IFERROR(INDEX(Inventario!O:O, MATCH(A157,Inventario!D:D, 0)), "")</f>
        <v>1.0.2</v>
      </c>
      <c r="D157" s="5" t="str">
        <f aca="false">IFERROR(INDEX(Inventario!M:M, MATCH(A157, Inventario!D:D, 0)), "")</f>
        <v>http://repos.bancsabadell.com/bitbucket/scm/P4CP/ms-baas-card-position-keeping.git</v>
      </c>
      <c r="E157" s="1" t="str">
        <f aca="false">SUBSTITUTE(D157, ".git", "-conf/browse")</f>
        <v>http://repos.bancsabadell.com/bitbucket/scm/P4CP/ms-baas-card-position-keeping-conf/browse</v>
      </c>
      <c r="F157" s="1" t="str">
        <f aca="false">CONCATENATE("release/",C157)</f>
        <v>release/1.0.2</v>
      </c>
    </row>
    <row r="158" customFormat="false" ht="12.8" hidden="false" customHeight="false" outlineLevel="0" collapsed="false">
      <c r="A158" s="1" t="s">
        <v>881</v>
      </c>
      <c r="B158" s="1" t="n">
        <f aca="false">ISNUMBER(MATCH(A158,Inventario!D:D, 0))</f>
        <v>1</v>
      </c>
      <c r="C158" s="1" t="str">
        <f aca="false">IFERROR(INDEX(Inventario!O:O, MATCH(A158,Inventario!D:D, 0)), "")</f>
        <v>1.0.2</v>
      </c>
      <c r="D158" s="5" t="str">
        <f aca="false">IFERROR(INDEX(Inventario!M:M, MATCH(A158, Inventario!D:D, 0)), "")</f>
        <v>http://repos.bancsabadell.com/bitbucket/scm/P4CP/ms-batch-fraud-notification-redsys.git</v>
      </c>
      <c r="E158" s="1" t="str">
        <f aca="false">SUBSTITUTE(D158, ".git", "-conf/browse")</f>
        <v>http://repos.bancsabadell.com/bitbucket/scm/P4CP/ms-batch-fraud-notification-redsys-conf/browse</v>
      </c>
      <c r="F158" s="1" t="str">
        <f aca="false">CONCATENATE("release/",C158)</f>
        <v>release/1.0.2</v>
      </c>
    </row>
    <row r="159" customFormat="false" ht="12.8" hidden="false" customHeight="false" outlineLevel="0" collapsed="false">
      <c r="A159" s="1" t="s">
        <v>1960</v>
      </c>
      <c r="B159" s="1" t="n">
        <f aca="false">ISNUMBER(MATCH(A159,Inventario!D:D, 0))</f>
        <v>1</v>
      </c>
      <c r="C159" s="1" t="str">
        <f aca="false">IFERROR(INDEX(Inventario!O:O, MATCH(A159,Inventario!D:D, 0)), "")</f>
        <v>1.1.0</v>
      </c>
      <c r="D159" s="5" t="str">
        <f aca="false">IFERROR(INDEX(Inventario!M:M, MATCH(A159, Inventario!D:D, 0)), "")</f>
        <v>http://repos.bancsabadell.com/bitbucket/scm/P4CP/ms-sys-branch-location-management-bs.git</v>
      </c>
      <c r="E159" s="1" t="str">
        <f aca="false">SUBSTITUTE(D159, ".git", "-conf/browse")</f>
        <v>http://repos.bancsabadell.com/bitbucket/scm/P4CP/ms-sys-branch-location-management-bs-conf/browse</v>
      </c>
      <c r="F159" s="1" t="str">
        <f aca="false">CONCATENATE("release/",C159)</f>
        <v>release/1.1.0</v>
      </c>
    </row>
    <row r="160" customFormat="false" ht="12.8" hidden="false" customHeight="false" outlineLevel="0" collapsed="false">
      <c r="A160" s="1" t="s">
        <v>1299</v>
      </c>
      <c r="B160" s="1" t="n">
        <f aca="false">ISNUMBER(MATCH(A160,Inventario!D:D, 0))</f>
        <v>1</v>
      </c>
      <c r="C160" s="1" t="str">
        <f aca="false">IFERROR(INDEX(Inventario!O:O, MATCH(A160,Inventario!D:D, 0)), "")</f>
        <v>1.0.3</v>
      </c>
      <c r="D160" s="5" t="str">
        <f aca="false">IFERROR(INDEX(Inventario!M:M, MATCH(A160, Inventario!D:D, 0)), "")</f>
        <v>http://repos.bancsabadell.com/bitbucket/scm/P4CP/ms-sys-card-position-keeping-v1.git</v>
      </c>
      <c r="E160" s="1" t="str">
        <f aca="false">SUBSTITUTE(D160, ".git", "-conf/browse")</f>
        <v>http://repos.bancsabadell.com/bitbucket/scm/P4CP/ms-sys-card-position-keeping-v1-conf/browse</v>
      </c>
      <c r="F160" s="1" t="str">
        <f aca="false">CONCATENATE("release/",C160)</f>
        <v>release/1.0.3</v>
      </c>
    </row>
    <row r="161" customFormat="false" ht="12.8" hidden="false" customHeight="false" outlineLevel="0" collapsed="false">
      <c r="A161" s="1" t="s">
        <v>2565</v>
      </c>
      <c r="B161" s="1" t="n">
        <f aca="false">ISNUMBER(MATCH(A161,Inventario!D:D, 0))</f>
        <v>1</v>
      </c>
      <c r="C161" s="1" t="str">
        <f aca="false">IFERROR(INDEX(Inventario!O:O, MATCH(A161,Inventario!D:D, 0)), "")</f>
        <v>1.0.6</v>
      </c>
      <c r="D161" s="5" t="str">
        <f aca="false">IFERROR(INDEX(Inventario!M:M, MATCH(A161, Inventario!D:D, 0)), "")</f>
        <v>http://repos.bancsabadell.com/bitbucket/scm/P4CP/ms-baas-card-case-digital.git</v>
      </c>
      <c r="E161" s="1" t="str">
        <f aca="false">SUBSTITUTE(D161, ".git", "-conf/browse")</f>
        <v>http://repos.bancsabadell.com/bitbucket/scm/P4CP/ms-baas-card-case-digital-conf/browse</v>
      </c>
      <c r="F161" s="1" t="str">
        <f aca="false">CONCATENATE("release/",C161)</f>
        <v>release/1.0.6</v>
      </c>
    </row>
    <row r="162" customFormat="false" ht="12.8" hidden="false" customHeight="false" outlineLevel="0" collapsed="false">
      <c r="A162" s="1" t="s">
        <v>897</v>
      </c>
      <c r="B162" s="1" t="n">
        <f aca="false">ISNUMBER(MATCH(A162,Inventario!D:D, 0))</f>
        <v>1</v>
      </c>
      <c r="C162" s="1" t="str">
        <f aca="false">IFERROR(INDEX(Inventario!O:O, MATCH(A162,Inventario!D:D, 0)), "")</f>
        <v>1.0.4</v>
      </c>
      <c r="D162" s="5" t="str">
        <f aca="false">IFERROR(INDEX(Inventario!M:M, MATCH(A162, Inventario!D:D, 0)), "")</f>
        <v>http://repos.bancsabadell.com/bitbucket/scm/p4cp/ms-batch-balance-list-redsys.git</v>
      </c>
      <c r="E162" s="1" t="str">
        <f aca="false">SUBSTITUTE(D162, ".git", "-conf/browse")</f>
        <v>http://repos.bancsabadell.com/bitbucket/scm/p4cp/ms-batch-balance-list-redsys-conf/browse</v>
      </c>
      <c r="F162" s="1" t="str">
        <f aca="false">CONCATENATE("release/",C162)</f>
        <v>release/1.0.4</v>
      </c>
    </row>
    <row r="163" customFormat="false" ht="12.8" hidden="false" customHeight="false" outlineLevel="0" collapsed="false">
      <c r="A163" s="1" t="s">
        <v>1936</v>
      </c>
      <c r="B163" s="1" t="n">
        <f aca="false">ISNUMBER(MATCH(A163,Inventario!D:D, 0))</f>
        <v>1</v>
      </c>
      <c r="C163" s="1" t="str">
        <f aca="false">IFERROR(INDEX(Inventario!O:O, MATCH(A163,Inventario!D:D, 0)), "")</f>
        <v>1.0.6</v>
      </c>
      <c r="D163" s="5" t="str">
        <f aca="false">IFERROR(INDEX(Inventario!M:M, MATCH(A163, Inventario!D:D, 0)), "")</f>
        <v>http://repos.bancsabadell.com/bitbucket/scm/P4CP/ms-sys-fraud-diagnosis-system-ih-v1.git</v>
      </c>
      <c r="E163" s="1" t="str">
        <f aca="false">SUBSTITUTE(D163, ".git", "-conf/browse")</f>
        <v>http://repos.bancsabadell.com/bitbucket/scm/P4CP/ms-sys-fraud-diagnosis-system-ih-v1-conf/browse</v>
      </c>
      <c r="F163" s="1" t="str">
        <f aca="false">CONCATENATE("release/",C163)</f>
        <v>release/1.0.6</v>
      </c>
    </row>
    <row r="164" customFormat="false" ht="12.8" hidden="true" customHeight="false" outlineLevel="0" collapsed="false">
      <c r="A164" s="1" t="s">
        <v>3152</v>
      </c>
      <c r="B164" s="1" t="n">
        <f aca="false">ISNUMBER(MATCH(A164,Inventario!D:D, 0))</f>
        <v>0</v>
      </c>
      <c r="C164" s="1" t="str">
        <f aca="false">IFERROR(INDEX(Inventario!O:O, MATCH(A164,Inventario!D:D, 0)), "")</f>
        <v/>
      </c>
      <c r="D164" s="5" t="str">
        <f aca="false">IFERROR(INDEX(Inventario!M:M, MATCH(A164, Inventario!D:D, 0)), "")</f>
        <v/>
      </c>
      <c r="E164" s="1" t="str">
        <f aca="false">SUBSTITUTE(D164, ".git", "-conf")</f>
        <v/>
      </c>
    </row>
    <row r="165" customFormat="false" ht="12.8" hidden="false" customHeight="false" outlineLevel="0" collapsed="false">
      <c r="A165" s="1" t="s">
        <v>2733</v>
      </c>
      <c r="B165" s="1" t="n">
        <f aca="false">ISNUMBER(MATCH(A165,Inventario!D:D, 0))</f>
        <v>1</v>
      </c>
      <c r="C165" s="1" t="str">
        <f aca="false">IFERROR(INDEX(Inventario!O:O, MATCH(A165,Inventario!D:D, 0)), "")</f>
        <v>0.0.6</v>
      </c>
      <c r="D165" s="5" t="str">
        <f aca="false">IFERROR(INDEX(Inventario!M:M, MATCH(A165, Inventario!D:D, 0)), "")</f>
        <v>http://repos.bancsabadell.com/bitbucket/scm/ESTC/ms-baas-c2c-validation.git</v>
      </c>
      <c r="E165" s="1" t="str">
        <f aca="false">SUBSTITUTE(D165, ".git", "-conf/browse")</f>
        <v>http://repos.bancsabadell.com/bitbucket/scm/ESTC/ms-baas-c2c-validation-conf/browse</v>
      </c>
      <c r="F165" s="1" t="str">
        <f aca="false">CONCATENATE("release/",C165)</f>
        <v>release/0.0.6</v>
      </c>
    </row>
    <row r="166" customFormat="false" ht="12.8" hidden="false" customHeight="false" outlineLevel="0" collapsed="false">
      <c r="A166" s="1" t="s">
        <v>2934</v>
      </c>
      <c r="B166" s="1" t="n">
        <f aca="false">ISNUMBER(MATCH(A166,Inventario!D:D, 0))</f>
        <v>1</v>
      </c>
      <c r="C166" s="1" t="str">
        <f aca="false">IFERROR(INDEX(Inventario!O:O, MATCH(A166,Inventario!D:D, 0)), "")</f>
        <v>1.0.9</v>
      </c>
      <c r="D166" s="5" t="str">
        <f aca="false">IFERROR(INDEX(Inventario!M:M, MATCH(A166, Inventario!D:D, 0)), "")</f>
        <v>http://repos.bancsabadell.com/bitbucket/scm/ESACCESODATO/ms-baas-consumo-datos.git</v>
      </c>
      <c r="E166" s="1" t="str">
        <f aca="false">SUBSTITUTE(D166, ".git", "-conf/browse")</f>
        <v>http://repos.bancsabadell.com/bitbucket/scm/ESACCESODATO/ms-baas-consumo-datos-conf/browse</v>
      </c>
      <c r="F166" s="1" t="str">
        <f aca="false">CONCATENATE("release/",C166)</f>
        <v>release/1.0.9</v>
      </c>
    </row>
    <row r="167" customFormat="false" ht="12.8" hidden="true" customHeight="false" outlineLevel="0" collapsed="false">
      <c r="A167" s="1" t="s">
        <v>3153</v>
      </c>
      <c r="B167" s="1" t="n">
        <f aca="false">ISNUMBER(MATCH(A167,Inventario!D:D, 0))</f>
        <v>0</v>
      </c>
      <c r="C167" s="1" t="str">
        <f aca="false">IFERROR(INDEX(Inventario!O:O, MATCH(A167,Inventario!D:D, 0)), "")</f>
        <v/>
      </c>
      <c r="D167" s="5" t="str">
        <f aca="false">IFERROR(INDEX(Inventario!M:M, MATCH(A167, Inventario!D:D, 0)), "")</f>
        <v/>
      </c>
      <c r="E167" s="1" t="str">
        <f aca="false">SUBSTITUTE(D167, ".git", "-conf")</f>
        <v/>
      </c>
    </row>
    <row r="168" customFormat="false" ht="12.8" hidden="false" customHeight="false" outlineLevel="0" collapsed="false">
      <c r="A168" s="1" t="s">
        <v>1800</v>
      </c>
      <c r="B168" s="1" t="n">
        <f aca="false">ISNUMBER(MATCH(A168,Inventario!D:D, 0))</f>
        <v>1</v>
      </c>
      <c r="C168" s="1" t="str">
        <f aca="false">IFERROR(INDEX(Inventario!O:O, MATCH(A168,Inventario!D:D, 0)), "")</f>
        <v>1.0.20</v>
      </c>
      <c r="D168" s="5" t="str">
        <f aca="false">IFERROR(INDEX(Inventario!M:M, MATCH(A168, Inventario!D:D, 0)), "")</f>
        <v>http://repos.bancsabadell.com/bitbucket/scm/MOBI/ms-sys-interactive-help-zendesk-v1.git</v>
      </c>
      <c r="E168" s="1" t="str">
        <f aca="false">SUBSTITUTE(D168, ".git", "-conf/browse")</f>
        <v>http://repos.bancsabadell.com/bitbucket/scm/MOBI/ms-sys-interactive-help-zendesk-v1-conf/browse</v>
      </c>
      <c r="F168" s="1" t="str">
        <f aca="false">CONCATENATE("release/",C168)</f>
        <v>release/1.0.20</v>
      </c>
    </row>
    <row r="169" customFormat="false" ht="12.8" hidden="true" customHeight="false" outlineLevel="0" collapsed="false">
      <c r="E169" s="1" t="str">
        <f aca="false">SUBSTITUTE(D169, ".git", "-conf")</f>
        <v/>
      </c>
    </row>
    <row r="170" customFormat="false" ht="12.8" hidden="true" customHeight="false" outlineLevel="0" collapsed="false">
      <c r="E170" s="1" t="str">
        <f aca="false">SUBSTITUTE(D170, ".git", "-conf")</f>
        <v/>
      </c>
    </row>
    <row r="171" customFormat="false" ht="12.8" hidden="true" customHeight="false" outlineLevel="0" collapsed="false">
      <c r="E171" s="1" t="str">
        <f aca="false">SUBSTITUTE(D171, ".git", "-conf")</f>
        <v/>
      </c>
    </row>
    <row r="172" customFormat="false" ht="12.8" hidden="true" customHeight="false" outlineLevel="0" collapsed="false">
      <c r="E172" s="1" t="str">
        <f aca="false">SUBSTITUTE(D172, ".git", "-conf")</f>
        <v/>
      </c>
    </row>
    <row r="173" customFormat="false" ht="12.8" hidden="true" customHeight="false" outlineLevel="0" collapsed="false">
      <c r="E173" s="1" t="str">
        <f aca="false">SUBSTITUTE(D173, ".git", "-conf")</f>
        <v/>
      </c>
    </row>
    <row r="174" customFormat="false" ht="12.8" hidden="true" customHeight="false" outlineLevel="0" collapsed="false">
      <c r="E174" s="1" t="str">
        <f aca="false">SUBSTITUTE(D174, ".git", "-conf")</f>
        <v/>
      </c>
    </row>
    <row r="175" customFormat="false" ht="12.8" hidden="true" customHeight="false" outlineLevel="0" collapsed="false">
      <c r="E175" s="1" t="str">
        <f aca="false">SUBSTITUTE(D175, ".git", "-conf")</f>
        <v/>
      </c>
    </row>
    <row r="176" customFormat="false" ht="12.8" hidden="true" customHeight="false" outlineLevel="0" collapsed="false">
      <c r="E176" s="1" t="str">
        <f aca="false">SUBSTITUTE(D176, ".git", "-conf")</f>
        <v/>
      </c>
    </row>
    <row r="177" customFormat="false" ht="12.8" hidden="true" customHeight="false" outlineLevel="0" collapsed="false">
      <c r="E177" s="1" t="str">
        <f aca="false">SUBSTITUTE(D177, ".git", "-conf")</f>
        <v/>
      </c>
    </row>
    <row r="178" customFormat="false" ht="12.8" hidden="true" customHeight="false" outlineLevel="0" collapsed="false">
      <c r="E178" s="1" t="str">
        <f aca="false">SUBSTITUTE(D178, ".git", "-conf")</f>
        <v/>
      </c>
    </row>
    <row r="179" customFormat="false" ht="12.8" hidden="true" customHeight="false" outlineLevel="0" collapsed="false">
      <c r="E179" s="1" t="str">
        <f aca="false">SUBSTITUTE(D179, ".git", "-conf")</f>
        <v/>
      </c>
    </row>
    <row r="180" customFormat="false" ht="12.8" hidden="true" customHeight="false" outlineLevel="0" collapsed="false">
      <c r="E180" s="1" t="str">
        <f aca="false">SUBSTITUTE(D180, ".git", "-conf")</f>
        <v/>
      </c>
    </row>
    <row r="181" customFormat="false" ht="12.8" hidden="true" customHeight="false" outlineLevel="0" collapsed="false">
      <c r="E181" s="1" t="str">
        <f aca="false">SUBSTITUTE(D181, ".git", "-conf")</f>
        <v/>
      </c>
    </row>
    <row r="182" customFormat="false" ht="12.8" hidden="true" customHeight="false" outlineLevel="0" collapsed="false">
      <c r="E182" s="1" t="str">
        <f aca="false">SUBSTITUTE(D182, ".git", "-conf")</f>
        <v/>
      </c>
    </row>
    <row r="183" customFormat="false" ht="12.8" hidden="true" customHeight="false" outlineLevel="0" collapsed="false">
      <c r="E183" s="1" t="str">
        <f aca="false">SUBSTITUTE(D183, ".git", "-conf")</f>
        <v/>
      </c>
    </row>
    <row r="184" customFormat="false" ht="12.8" hidden="true" customHeight="false" outlineLevel="0" collapsed="false">
      <c r="E184" s="1" t="str">
        <f aca="false">SUBSTITUTE(D184, ".git", "-conf")</f>
        <v/>
      </c>
    </row>
    <row r="185" customFormat="false" ht="12.8" hidden="true" customHeight="false" outlineLevel="0" collapsed="false">
      <c r="E185" s="1" t="str">
        <f aca="false">SUBSTITUTE(D185, ".git", "-conf")</f>
        <v/>
      </c>
    </row>
    <row r="186" customFormat="false" ht="12.8" hidden="true" customHeight="false" outlineLevel="0" collapsed="false">
      <c r="E186" s="1" t="str">
        <f aca="false">SUBSTITUTE(D186, ".git", "-conf")</f>
        <v/>
      </c>
    </row>
    <row r="187" customFormat="false" ht="12.8" hidden="true" customHeight="false" outlineLevel="0" collapsed="false">
      <c r="E187" s="1" t="str">
        <f aca="false">SUBSTITUTE(D187, ".git", "-conf")</f>
        <v/>
      </c>
    </row>
    <row r="188" customFormat="false" ht="12.8" hidden="true" customHeight="false" outlineLevel="0" collapsed="false">
      <c r="E188" s="1" t="str">
        <f aca="false">SUBSTITUTE(D188, ".git", "-conf")</f>
        <v/>
      </c>
    </row>
    <row r="189" customFormat="false" ht="12.8" hidden="true" customHeight="false" outlineLevel="0" collapsed="false">
      <c r="E189" s="1" t="str">
        <f aca="false">SUBSTITUTE(D189, ".git", "-conf")</f>
        <v/>
      </c>
    </row>
    <row r="190" customFormat="false" ht="12.8" hidden="true" customHeight="false" outlineLevel="0" collapsed="false">
      <c r="E190" s="1" t="str">
        <f aca="false">SUBSTITUTE(D190, ".git", "-conf")</f>
        <v/>
      </c>
    </row>
    <row r="191" customFormat="false" ht="12.8" hidden="true" customHeight="false" outlineLevel="0" collapsed="false">
      <c r="E191" s="1" t="str">
        <f aca="false">SUBSTITUTE(D191, ".git", "-conf")</f>
        <v/>
      </c>
    </row>
    <row r="192" customFormat="false" ht="12.8" hidden="true" customHeight="false" outlineLevel="0" collapsed="false">
      <c r="E192" s="1" t="str">
        <f aca="false">SUBSTITUTE(D192, ".git", "-conf")</f>
        <v/>
      </c>
    </row>
    <row r="193" customFormat="false" ht="12.8" hidden="true" customHeight="false" outlineLevel="0" collapsed="false">
      <c r="E193" s="1" t="str">
        <f aca="false">SUBSTITUTE(D193, ".git", "-conf")</f>
        <v/>
      </c>
    </row>
    <row r="194" customFormat="false" ht="12.8" hidden="true" customHeight="false" outlineLevel="0" collapsed="false">
      <c r="E194" s="1" t="str">
        <f aca="false">SUBSTITUTE(D194, ".git", "-conf")</f>
        <v/>
      </c>
    </row>
    <row r="195" customFormat="false" ht="12.8" hidden="true" customHeight="false" outlineLevel="0" collapsed="false">
      <c r="E195" s="1" t="str">
        <f aca="false">SUBSTITUTE(D195, ".git", "-conf")</f>
        <v/>
      </c>
    </row>
    <row r="196" customFormat="false" ht="12.8" hidden="true" customHeight="false" outlineLevel="0" collapsed="false">
      <c r="E196" s="1" t="str">
        <f aca="false">SUBSTITUTE(D196, ".git", "-conf")</f>
        <v/>
      </c>
    </row>
    <row r="197" customFormat="false" ht="12.8" hidden="true" customHeight="false" outlineLevel="0" collapsed="false">
      <c r="E197" s="1" t="str">
        <f aca="false">SUBSTITUTE(D197, ".git", "-conf")</f>
        <v/>
      </c>
    </row>
    <row r="198" customFormat="false" ht="12.8" hidden="true" customHeight="false" outlineLevel="0" collapsed="false">
      <c r="E198" s="1" t="str">
        <f aca="false">SUBSTITUTE(D198, ".git", "-conf")</f>
        <v/>
      </c>
    </row>
    <row r="199" customFormat="false" ht="12.8" hidden="true" customHeight="false" outlineLevel="0" collapsed="false">
      <c r="E199" s="1" t="str">
        <f aca="false">SUBSTITUTE(D199, ".git", "-conf")</f>
        <v/>
      </c>
    </row>
    <row r="200" customFormat="false" ht="12.8" hidden="true" customHeight="false" outlineLevel="0" collapsed="false">
      <c r="E200" s="1" t="str">
        <f aca="false">SUBSTITUTE(D200, ".git", "-conf")</f>
        <v/>
      </c>
    </row>
    <row r="201" customFormat="false" ht="12.8" hidden="true" customHeight="false" outlineLevel="0" collapsed="false">
      <c r="E201" s="1" t="str">
        <f aca="false">SUBSTITUTE(D201, ".git", "-conf")</f>
        <v/>
      </c>
    </row>
    <row r="202" customFormat="false" ht="12.8" hidden="true" customHeight="false" outlineLevel="0" collapsed="false">
      <c r="E202" s="1" t="str">
        <f aca="false">SUBSTITUTE(D202, ".git", "-conf")</f>
        <v/>
      </c>
    </row>
    <row r="203" customFormat="false" ht="12.8" hidden="true" customHeight="false" outlineLevel="0" collapsed="false">
      <c r="E203" s="1" t="str">
        <f aca="false">SUBSTITUTE(D203, ".git", "-conf")</f>
        <v/>
      </c>
    </row>
    <row r="204" customFormat="false" ht="12.8" hidden="true" customHeight="false" outlineLevel="0" collapsed="false">
      <c r="E204" s="1" t="str">
        <f aca="false">SUBSTITUTE(D204, ".git", "-conf")</f>
        <v/>
      </c>
    </row>
    <row r="205" customFormat="false" ht="12.8" hidden="true" customHeight="false" outlineLevel="0" collapsed="false">
      <c r="E205" s="1" t="str">
        <f aca="false">SUBSTITUTE(D205, ".git", "-conf")</f>
        <v/>
      </c>
    </row>
    <row r="206" customFormat="false" ht="12.8" hidden="true" customHeight="false" outlineLevel="0" collapsed="false">
      <c r="E206" s="1" t="str">
        <f aca="false">SUBSTITUTE(D206, ".git", "-conf")</f>
        <v/>
      </c>
    </row>
    <row r="207" customFormat="false" ht="12.8" hidden="true" customHeight="false" outlineLevel="0" collapsed="false">
      <c r="E207" s="1" t="str">
        <f aca="false">SUBSTITUTE(D207, ".git", "-conf")</f>
        <v/>
      </c>
    </row>
    <row r="208" customFormat="false" ht="12.8" hidden="true" customHeight="false" outlineLevel="0" collapsed="false">
      <c r="E208" s="1" t="str">
        <f aca="false">SUBSTITUTE(D208, ".git", "-conf")</f>
        <v/>
      </c>
    </row>
    <row r="209" customFormat="false" ht="12.8" hidden="true" customHeight="false" outlineLevel="0" collapsed="false">
      <c r="E209" s="1" t="str">
        <f aca="false">SUBSTITUTE(D209, ".git", "-conf")</f>
        <v/>
      </c>
    </row>
    <row r="210" customFormat="false" ht="12.8" hidden="true" customHeight="false" outlineLevel="0" collapsed="false">
      <c r="E210" s="1" t="str">
        <f aca="false">SUBSTITUTE(D210, ".git", "-conf")</f>
        <v/>
      </c>
    </row>
    <row r="211" customFormat="false" ht="12.8" hidden="true" customHeight="false" outlineLevel="0" collapsed="false">
      <c r="E211" s="1" t="str">
        <f aca="false">SUBSTITUTE(D211, ".git", "-conf")</f>
        <v/>
      </c>
    </row>
    <row r="212" customFormat="false" ht="12.8" hidden="true" customHeight="false" outlineLevel="0" collapsed="false">
      <c r="E212" s="1" t="str">
        <f aca="false">SUBSTITUTE(D212, ".git", "-conf")</f>
        <v/>
      </c>
    </row>
    <row r="213" customFormat="false" ht="12.8" hidden="true" customHeight="false" outlineLevel="0" collapsed="false">
      <c r="E213" s="1" t="str">
        <f aca="false">SUBSTITUTE(D213, ".git", "-conf")</f>
        <v/>
      </c>
    </row>
    <row r="214" customFormat="false" ht="12.8" hidden="true" customHeight="false" outlineLevel="0" collapsed="false">
      <c r="E214" s="1" t="str">
        <f aca="false">SUBSTITUTE(D214, ".git", "-conf")</f>
        <v/>
      </c>
    </row>
    <row r="215" customFormat="false" ht="12.8" hidden="true" customHeight="false" outlineLevel="0" collapsed="false">
      <c r="E215" s="1" t="str">
        <f aca="false">SUBSTITUTE(D215, ".git", "-conf")</f>
        <v/>
      </c>
    </row>
    <row r="216" customFormat="false" ht="12.8" hidden="true" customHeight="false" outlineLevel="0" collapsed="false">
      <c r="E216" s="1" t="str">
        <f aca="false">SUBSTITUTE(D216, ".git", "-conf")</f>
        <v/>
      </c>
    </row>
    <row r="217" customFormat="false" ht="12.8" hidden="true" customHeight="false" outlineLevel="0" collapsed="false">
      <c r="E217" s="1" t="str">
        <f aca="false">SUBSTITUTE(D217, ".git", "-conf")</f>
        <v/>
      </c>
    </row>
    <row r="218" customFormat="false" ht="12.8" hidden="true" customHeight="false" outlineLevel="0" collapsed="false">
      <c r="E218" s="1" t="str">
        <f aca="false">SUBSTITUTE(D218, ".git", "-conf")</f>
        <v/>
      </c>
    </row>
    <row r="219" customFormat="false" ht="12.8" hidden="true" customHeight="false" outlineLevel="0" collapsed="false">
      <c r="E219" s="1" t="str">
        <f aca="false">SUBSTITUTE(D219, ".git", "-conf")</f>
        <v/>
      </c>
    </row>
    <row r="220" customFormat="false" ht="12.8" hidden="true" customHeight="false" outlineLevel="0" collapsed="false">
      <c r="E220" s="1" t="str">
        <f aca="false">SUBSTITUTE(D220, ".git", "-conf")</f>
        <v/>
      </c>
    </row>
    <row r="221" customFormat="false" ht="12.8" hidden="true" customHeight="false" outlineLevel="0" collapsed="false">
      <c r="E221" s="1" t="str">
        <f aca="false">SUBSTITUTE(D221, ".git", "-conf")</f>
        <v/>
      </c>
    </row>
    <row r="222" customFormat="false" ht="12.8" hidden="true" customHeight="false" outlineLevel="0" collapsed="false">
      <c r="E222" s="1" t="str">
        <f aca="false">SUBSTITUTE(D222, ".git", "-conf")</f>
        <v/>
      </c>
    </row>
    <row r="223" customFormat="false" ht="12.8" hidden="true" customHeight="false" outlineLevel="0" collapsed="false">
      <c r="E223" s="1" t="str">
        <f aca="false">SUBSTITUTE(D223, ".git", "-conf")</f>
        <v/>
      </c>
    </row>
    <row r="224" customFormat="false" ht="12.8" hidden="true" customHeight="false" outlineLevel="0" collapsed="false">
      <c r="E224" s="1" t="str">
        <f aca="false">SUBSTITUTE(D224, ".git", "-conf")</f>
        <v/>
      </c>
    </row>
    <row r="225" customFormat="false" ht="12.8" hidden="true" customHeight="false" outlineLevel="0" collapsed="false">
      <c r="E225" s="1" t="str">
        <f aca="false">SUBSTITUTE(D225, ".git", "-conf")</f>
        <v/>
      </c>
    </row>
    <row r="226" customFormat="false" ht="12.8" hidden="true" customHeight="false" outlineLevel="0" collapsed="false">
      <c r="E226" s="1" t="str">
        <f aca="false">SUBSTITUTE(D226, ".git", "-conf")</f>
        <v/>
      </c>
    </row>
    <row r="227" customFormat="false" ht="12.8" hidden="true" customHeight="false" outlineLevel="0" collapsed="false">
      <c r="E227" s="1" t="str">
        <f aca="false">SUBSTITUTE(D227, ".git", "-conf")</f>
        <v/>
      </c>
    </row>
    <row r="228" customFormat="false" ht="12.8" hidden="true" customHeight="false" outlineLevel="0" collapsed="false">
      <c r="E228" s="1" t="str">
        <f aca="false">SUBSTITUTE(D228, ".git", "-conf")</f>
        <v/>
      </c>
    </row>
    <row r="229" customFormat="false" ht="12.8" hidden="true" customHeight="false" outlineLevel="0" collapsed="false">
      <c r="E229" s="1" t="str">
        <f aca="false">SUBSTITUTE(D229, ".git", "-conf")</f>
        <v/>
      </c>
    </row>
    <row r="230" customFormat="false" ht="12.8" hidden="true" customHeight="false" outlineLevel="0" collapsed="false">
      <c r="E230" s="1" t="str">
        <f aca="false">SUBSTITUTE(D230, ".git", "-conf")</f>
        <v/>
      </c>
    </row>
    <row r="231" customFormat="false" ht="12.8" hidden="true" customHeight="false" outlineLevel="0" collapsed="false">
      <c r="E231" s="1" t="str">
        <f aca="false">SUBSTITUTE(D231, ".git", "-conf")</f>
        <v/>
      </c>
    </row>
    <row r="232" customFormat="false" ht="12.8" hidden="true" customHeight="false" outlineLevel="0" collapsed="false">
      <c r="E232" s="1" t="str">
        <f aca="false">SUBSTITUTE(D232, ".git", "-conf")</f>
        <v/>
      </c>
    </row>
    <row r="233" customFormat="false" ht="12.8" hidden="true" customHeight="false" outlineLevel="0" collapsed="false">
      <c r="E233" s="1" t="str">
        <f aca="false">SUBSTITUTE(D233, ".git", "-conf")</f>
        <v/>
      </c>
    </row>
    <row r="234" customFormat="false" ht="12.8" hidden="true" customHeight="false" outlineLevel="0" collapsed="false">
      <c r="E234" s="1" t="str">
        <f aca="false">SUBSTITUTE(D234, ".git", "-conf")</f>
        <v/>
      </c>
    </row>
    <row r="235" customFormat="false" ht="12.8" hidden="true" customHeight="false" outlineLevel="0" collapsed="false">
      <c r="E235" s="1" t="str">
        <f aca="false">SUBSTITUTE(D235, ".git", "-conf")</f>
        <v/>
      </c>
    </row>
    <row r="236" customFormat="false" ht="12.8" hidden="true" customHeight="false" outlineLevel="0" collapsed="false">
      <c r="E236" s="1" t="str">
        <f aca="false">SUBSTITUTE(D236, ".git", "-conf")</f>
        <v/>
      </c>
    </row>
    <row r="237" customFormat="false" ht="12.8" hidden="true" customHeight="false" outlineLevel="0" collapsed="false">
      <c r="E237" s="1" t="str">
        <f aca="false">SUBSTITUTE(D237, ".git", "-conf")</f>
        <v/>
      </c>
    </row>
    <row r="238" customFormat="false" ht="12.8" hidden="true" customHeight="false" outlineLevel="0" collapsed="false">
      <c r="E238" s="1" t="str">
        <f aca="false">SUBSTITUTE(D238, ".git", "-conf")</f>
        <v/>
      </c>
    </row>
    <row r="239" customFormat="false" ht="12.8" hidden="true" customHeight="false" outlineLevel="0" collapsed="false">
      <c r="E239" s="1" t="str">
        <f aca="false">SUBSTITUTE(D239, ".git", "-conf")</f>
        <v/>
      </c>
    </row>
    <row r="240" customFormat="false" ht="12.8" hidden="true" customHeight="false" outlineLevel="0" collapsed="false">
      <c r="E240" s="1" t="str">
        <f aca="false">SUBSTITUTE(D240, ".git", "-conf")</f>
        <v/>
      </c>
    </row>
    <row r="241" customFormat="false" ht="12.8" hidden="true" customHeight="false" outlineLevel="0" collapsed="false">
      <c r="E241" s="1" t="str">
        <f aca="false">SUBSTITUTE(D241, ".git", "-conf")</f>
        <v/>
      </c>
    </row>
    <row r="242" customFormat="false" ht="12.8" hidden="true" customHeight="false" outlineLevel="0" collapsed="false">
      <c r="E242" s="1" t="str">
        <f aca="false">SUBSTITUTE(D242, ".git", "-conf")</f>
        <v/>
      </c>
    </row>
  </sheetData>
  <autoFilter ref="A1:M256">
    <filterColumn colId="2" hiddenButton="1">
      <filters>
        <filter val="200"/>
      </filters>
    </filterColumn>
    <filterColumn colId="0" hiddenButton="1"/>
    <filterColumn colId="1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9.82"/>
    <col collapsed="false" customWidth="true" hidden="false" outlineLevel="0" max="2" min="2" style="0" width="149.98"/>
    <col collapsed="false" customWidth="true" hidden="false" outlineLevel="0" max="3" min="3" style="0" width="9.49"/>
    <col collapsed="false" customWidth="true" hidden="false" outlineLevel="0" max="4" min="4" style="0" width="12.97"/>
    <col collapsed="false" customWidth="true" hidden="false" outlineLevel="0" max="5" min="5" style="0" width="6.58"/>
    <col collapsed="false" customWidth="true" hidden="false" outlineLevel="0" max="6" min="6" style="0" width="57.34"/>
    <col collapsed="false" customWidth="true" hidden="false" outlineLevel="0" max="7" min="7" style="0" width="90.45"/>
    <col collapsed="false" customWidth="true" hidden="false" outlineLevel="0" max="8" min="8" style="1" width="24.76"/>
    <col collapsed="false" customWidth="true" hidden="false" outlineLevel="0" max="9" min="9" style="1" width="106.72"/>
    <col collapsed="false" customWidth="true" hidden="false" outlineLevel="0" max="10" min="10" style="1" width="20.21"/>
    <col collapsed="false" customWidth="true" hidden="false" outlineLevel="0" max="11" min="11" style="1" width="93.83"/>
    <col collapsed="false" customWidth="true" hidden="false" outlineLevel="0" max="12" min="12" style="1" width="18.59"/>
    <col collapsed="false" customWidth="true" hidden="false" outlineLevel="0" max="13" min="13" style="1" width="93.83"/>
  </cols>
  <sheetData>
    <row r="1" customFormat="false" ht="12.8" hidden="false" customHeight="false" outlineLevel="0" collapsed="false">
      <c r="A1" s="7" t="s">
        <v>3154</v>
      </c>
      <c r="B1" s="7" t="s">
        <v>3155</v>
      </c>
      <c r="C1" s="7" t="s">
        <v>3156</v>
      </c>
      <c r="D1" s="7" t="s">
        <v>3149</v>
      </c>
      <c r="E1" s="7" t="s">
        <v>3157</v>
      </c>
      <c r="F1" s="7" t="s">
        <v>3158</v>
      </c>
      <c r="G1" s="7" t="s">
        <v>3159</v>
      </c>
      <c r="H1" s="2" t="s">
        <v>3160</v>
      </c>
      <c r="I1" s="2" t="s">
        <v>3161</v>
      </c>
      <c r="J1" s="2" t="s">
        <v>3162</v>
      </c>
      <c r="K1" s="2" t="s">
        <v>3163</v>
      </c>
      <c r="L1" s="2" t="s">
        <v>3164</v>
      </c>
      <c r="M1" s="2" t="s">
        <v>3165</v>
      </c>
    </row>
    <row r="2" customFormat="false" ht="12.8" hidden="false" customHeight="false" outlineLevel="0" collapsed="false">
      <c r="A2" s="0" t="s">
        <v>2662</v>
      </c>
      <c r="B2" s="0" t="s">
        <v>3166</v>
      </c>
      <c r="C2" s="0" t="n">
        <v>404</v>
      </c>
      <c r="D2" s="0" t="s">
        <v>3167</v>
      </c>
      <c r="E2" s="0" t="n">
        <v>404</v>
      </c>
      <c r="H2" s="1" t="b">
        <f aca="false">ISNUMBER(MATCH(F2,'globales-sys'!F:F, 0))</f>
        <v>0</v>
      </c>
      <c r="I2" s="1" t="str">
        <f aca="false">IFERROR(INDEX('globales-sys'!G:G, MATCH(F2,'globales-sys'!F:F, 0)), "")</f>
        <v/>
      </c>
      <c r="J2" s="3" t="b">
        <f aca="false">ISNUMBER(MATCH(F2,'globales-baas'!F:F, 0))</f>
        <v>0</v>
      </c>
      <c r="K2" s="1" t="str">
        <f aca="false">IFERROR(INDEX('globales-baas'!G:G, MATCH(F2,'globales-baas'!F:F, 0)), "")</f>
        <v/>
      </c>
      <c r="L2" s="3" t="b">
        <f aca="false">ISNUMBER(MATCH(F2,'globales-bff'!F:F, 0))</f>
        <v>0</v>
      </c>
      <c r="M2" s="1" t="str">
        <f aca="false">IFERROR(INDEX('globales-bff'!G:G, MATCH(F2,'globales-bff'!F:F, 0)), "")</f>
        <v/>
      </c>
    </row>
    <row r="3" customFormat="false" ht="12.8" hidden="false" customHeight="false" outlineLevel="0" collapsed="false">
      <c r="A3" s="0" t="s">
        <v>951</v>
      </c>
      <c r="B3" s="0" t="s">
        <v>3168</v>
      </c>
      <c r="C3" s="0" t="n">
        <v>404</v>
      </c>
      <c r="D3" s="0" t="s">
        <v>3169</v>
      </c>
      <c r="E3" s="0" t="n">
        <v>404</v>
      </c>
      <c r="H3" s="3" t="b">
        <f aca="false">ISNUMBER(MATCH(F3,'globales-sys'!F:F, 0))</f>
        <v>0</v>
      </c>
      <c r="I3" s="1" t="str">
        <f aca="false">IFERROR(INDEX('globales-sys'!G:G, MATCH(F3,'globales-sys'!F:F, 0)), "")</f>
        <v/>
      </c>
      <c r="J3" s="3" t="b">
        <f aca="false">ISNUMBER(MATCH(F3,'globales-baas'!F:F, 0))</f>
        <v>0</v>
      </c>
      <c r="K3" s="1" t="str">
        <f aca="false">IFERROR(INDEX('globales-baas'!G:G, MATCH(F3,'globales-baas'!F:F, 0)), "")</f>
        <v/>
      </c>
      <c r="L3" s="3" t="b">
        <f aca="false">ISNUMBER(MATCH(F3,'globales-bff'!F:F, 0))</f>
        <v>0</v>
      </c>
      <c r="M3" s="1" t="str">
        <f aca="false">IFERROR(INDEX('globales-bff'!G:G, MATCH(F3,'globales-bff'!F:F, 0)), "")</f>
        <v/>
      </c>
    </row>
    <row r="4" customFormat="false" ht="12.8" hidden="false" customHeight="false" outlineLevel="0" collapsed="false">
      <c r="A4" s="0" t="s">
        <v>2544</v>
      </c>
      <c r="B4" s="0" t="s">
        <v>3170</v>
      </c>
      <c r="C4" s="0" t="n">
        <v>404</v>
      </c>
      <c r="D4" s="0" t="s">
        <v>3171</v>
      </c>
      <c r="E4" s="0" t="n">
        <v>404</v>
      </c>
      <c r="H4" s="3" t="b">
        <f aca="false">ISNUMBER(MATCH(F4,'globales-sys'!F:F, 0))</f>
        <v>0</v>
      </c>
      <c r="I4" s="1" t="str">
        <f aca="false">IFERROR(INDEX('globales-sys'!G:G, MATCH(F4,'globales-sys'!F:F, 0)), "")</f>
        <v/>
      </c>
      <c r="J4" s="3" t="b">
        <f aca="false">ISNUMBER(MATCH(F4,'globales-baas'!F:F, 0))</f>
        <v>0</v>
      </c>
      <c r="K4" s="1" t="str">
        <f aca="false">IFERROR(INDEX('globales-baas'!G:G, MATCH(F4,'globales-baas'!F:F, 0)), "")</f>
        <v/>
      </c>
      <c r="L4" s="3" t="b">
        <f aca="false">ISNUMBER(MATCH(F4,'globales-bff'!F:F, 0))</f>
        <v>0</v>
      </c>
      <c r="M4" s="1" t="str">
        <f aca="false">IFERROR(INDEX('globales-bff'!G:G, MATCH(F4,'globales-bff'!F:F, 0)), "")</f>
        <v/>
      </c>
    </row>
    <row r="5" customFormat="false" ht="12.8" hidden="false" customHeight="false" outlineLevel="0" collapsed="false">
      <c r="A5" s="0" t="s">
        <v>2386</v>
      </c>
      <c r="B5" s="0" t="s">
        <v>3172</v>
      </c>
      <c r="C5" s="0" t="n">
        <v>404</v>
      </c>
      <c r="D5" s="0" t="s">
        <v>3173</v>
      </c>
      <c r="E5" s="0" t="n">
        <v>404</v>
      </c>
      <c r="H5" s="3" t="b">
        <f aca="false">ISNUMBER(MATCH(F5,'globales-sys'!F:F, 0))</f>
        <v>0</v>
      </c>
      <c r="I5" s="1" t="str">
        <f aca="false">IFERROR(INDEX('globales-sys'!G:G, MATCH(F5,'globales-sys'!F:F, 0)), "")</f>
        <v/>
      </c>
      <c r="J5" s="3" t="b">
        <f aca="false">ISNUMBER(MATCH(F5,'globales-baas'!F:F, 0))</f>
        <v>0</v>
      </c>
      <c r="K5" s="1" t="str">
        <f aca="false">IFERROR(INDEX('globales-baas'!G:G, MATCH(F5,'globales-baas'!F:F, 0)), "")</f>
        <v/>
      </c>
      <c r="L5" s="3" t="b">
        <f aca="false">ISNUMBER(MATCH(F5,'globales-bff'!F:F, 0))</f>
        <v>0</v>
      </c>
      <c r="M5" s="1" t="str">
        <f aca="false">IFERROR(INDEX('globales-bff'!G:G, MATCH(F5,'globales-bff'!F:F, 0)), "")</f>
        <v/>
      </c>
    </row>
    <row r="6" customFormat="false" ht="12.8" hidden="false" customHeight="false" outlineLevel="0" collapsed="false">
      <c r="A6" s="0" t="s">
        <v>2682</v>
      </c>
      <c r="B6" s="0" t="s">
        <v>3174</v>
      </c>
      <c r="C6" s="0" t="n">
        <v>200</v>
      </c>
      <c r="D6" s="0" t="s">
        <v>3175</v>
      </c>
      <c r="E6" s="0" t="s">
        <v>3176</v>
      </c>
      <c r="F6" s="0" t="s">
        <v>3177</v>
      </c>
      <c r="G6" s="0" t="s">
        <v>3178</v>
      </c>
      <c r="H6" s="1" t="b">
        <f aca="false">ISNUMBER(MATCH(F6,'globales-sys'!F:F, 0))</f>
        <v>0</v>
      </c>
      <c r="I6" s="1" t="str">
        <f aca="false">IFERROR(INDEX('globales-sys'!G:G, MATCH(F6,'globales-sys'!F:F, 0)), "")</f>
        <v/>
      </c>
      <c r="J6" s="3" t="b">
        <f aca="false">ISNUMBER(MATCH(F6,'globales-baas'!F:F, 0))</f>
        <v>0</v>
      </c>
      <c r="K6" s="1" t="str">
        <f aca="false">IFERROR(INDEX('globales-baas'!G:G, MATCH(F6,'globales-baas'!F:F, 0)), "")</f>
        <v/>
      </c>
      <c r="L6" s="3" t="b">
        <f aca="false">ISNUMBER(MATCH(F6,'globales-bff'!F:F, 0))</f>
        <v>0</v>
      </c>
      <c r="M6" s="1" t="str">
        <f aca="false">IFERROR(INDEX('globales-bff'!G:G, MATCH(F6,'globales-bff'!F:F, 0)), "")</f>
        <v/>
      </c>
    </row>
    <row r="7" customFormat="false" ht="12.8" hidden="false" customHeight="false" outlineLevel="0" collapsed="false">
      <c r="A7" s="0" t="s">
        <v>2682</v>
      </c>
      <c r="B7" s="0" t="s">
        <v>3174</v>
      </c>
      <c r="C7" s="0" t="n">
        <v>200</v>
      </c>
      <c r="D7" s="0" t="s">
        <v>3175</v>
      </c>
      <c r="E7" s="0" t="s">
        <v>3176</v>
      </c>
      <c r="F7" s="0" t="s">
        <v>3179</v>
      </c>
      <c r="G7" s="0" t="s">
        <v>3180</v>
      </c>
      <c r="H7" s="1" t="b">
        <f aca="false">ISNUMBER(MATCH(F7,'globales-sys'!F:F, 0))</f>
        <v>0</v>
      </c>
      <c r="I7" s="1" t="str">
        <f aca="false">IFERROR(INDEX('globales-sys'!G:G, MATCH(F7,'globales-sys'!F:F, 0)), "")</f>
        <v/>
      </c>
      <c r="J7" s="3" t="b">
        <f aca="false">ISNUMBER(MATCH(F7,'globales-baas'!F:F, 0))</f>
        <v>0</v>
      </c>
      <c r="K7" s="1" t="str">
        <f aca="false">IFERROR(INDEX('globales-baas'!G:G, MATCH(F7,'globales-baas'!F:F, 0)), "")</f>
        <v/>
      </c>
      <c r="L7" s="3" t="b">
        <f aca="false">ISNUMBER(MATCH(F7,'globales-bff'!F:F, 0))</f>
        <v>0</v>
      </c>
      <c r="M7" s="1" t="str">
        <f aca="false">IFERROR(INDEX('globales-bff'!G:G, MATCH(F7,'globales-bff'!F:F, 0)), "")</f>
        <v/>
      </c>
    </row>
    <row r="8" customFormat="false" ht="12.8" hidden="false" customHeight="false" outlineLevel="0" collapsed="false">
      <c r="A8" s="0" t="s">
        <v>2682</v>
      </c>
      <c r="B8" s="0" t="s">
        <v>3174</v>
      </c>
      <c r="C8" s="0" t="n">
        <v>200</v>
      </c>
      <c r="D8" s="0" t="s">
        <v>3175</v>
      </c>
      <c r="E8" s="0" t="s">
        <v>3176</v>
      </c>
      <c r="F8" s="0" t="s">
        <v>3181</v>
      </c>
      <c r="G8" s="0" t="s">
        <v>3182</v>
      </c>
      <c r="H8" s="3" t="b">
        <f aca="false">ISNUMBER(MATCH(F8,'globales-sys'!F:F, 0))</f>
        <v>0</v>
      </c>
      <c r="I8" s="1" t="str">
        <f aca="false">IFERROR(INDEX('globales-sys'!G:G, MATCH(F8,'globales-sys'!F:F, 0)), "")</f>
        <v/>
      </c>
      <c r="J8" s="3" t="b">
        <f aca="false">ISNUMBER(MATCH(F8,'globales-baas'!F:F, 0))</f>
        <v>0</v>
      </c>
      <c r="K8" s="1" t="str">
        <f aca="false">IFERROR(INDEX('globales-baas'!G:G, MATCH(F8,'globales-baas'!F:F, 0)), "")</f>
        <v/>
      </c>
      <c r="L8" s="3" t="b">
        <f aca="false">ISNUMBER(MATCH(F8,'globales-bff'!F:F, 0))</f>
        <v>0</v>
      </c>
      <c r="M8" s="1" t="str">
        <f aca="false">IFERROR(INDEX('globales-bff'!G:G, MATCH(F8,'globales-bff'!F:F, 0)), "")</f>
        <v/>
      </c>
    </row>
    <row r="9" customFormat="false" ht="12.8" hidden="false" customHeight="false" outlineLevel="0" collapsed="false">
      <c r="A9" s="0" t="s">
        <v>2682</v>
      </c>
      <c r="B9" s="0" t="s">
        <v>3174</v>
      </c>
      <c r="C9" s="0" t="n">
        <v>200</v>
      </c>
      <c r="D9" s="0" t="s">
        <v>3175</v>
      </c>
      <c r="E9" s="0" t="s">
        <v>3176</v>
      </c>
      <c r="F9" s="0" t="s">
        <v>3183</v>
      </c>
      <c r="G9" s="0" t="s">
        <v>3184</v>
      </c>
      <c r="H9" s="3" t="b">
        <f aca="false">ISNUMBER(MATCH(F9,'globales-sys'!F:F, 0))</f>
        <v>0</v>
      </c>
      <c r="I9" s="1" t="str">
        <f aca="false">IFERROR(INDEX('globales-sys'!G:G, MATCH(F9,'globales-sys'!F:F, 0)), "")</f>
        <v/>
      </c>
      <c r="J9" s="3" t="b">
        <f aca="false">ISNUMBER(MATCH(F9,'globales-baas'!F:F, 0))</f>
        <v>0</v>
      </c>
      <c r="K9" s="1" t="str">
        <f aca="false">IFERROR(INDEX('globales-baas'!G:G, MATCH(F9,'globales-baas'!F:F, 0)), "")</f>
        <v/>
      </c>
      <c r="L9" s="3" t="b">
        <f aca="false">ISNUMBER(MATCH(F9,'globales-bff'!F:F, 0))</f>
        <v>0</v>
      </c>
      <c r="M9" s="1" t="str">
        <f aca="false">IFERROR(INDEX('globales-bff'!G:G, MATCH(F9,'globales-bff'!F:F, 0)), "")</f>
        <v/>
      </c>
    </row>
    <row r="10" customFormat="false" ht="12.8" hidden="false" customHeight="false" outlineLevel="0" collapsed="false">
      <c r="A10" s="0" t="s">
        <v>2682</v>
      </c>
      <c r="B10" s="0" t="s">
        <v>3174</v>
      </c>
      <c r="C10" s="0" t="n">
        <v>200</v>
      </c>
      <c r="D10" s="0" t="s">
        <v>3175</v>
      </c>
      <c r="E10" s="0" t="s">
        <v>3176</v>
      </c>
      <c r="F10" s="0" t="s">
        <v>3185</v>
      </c>
      <c r="G10" s="0" t="s">
        <v>3186</v>
      </c>
      <c r="H10" s="3" t="b">
        <f aca="false">ISNUMBER(MATCH(F10,'globales-sys'!F:F, 0))</f>
        <v>0</v>
      </c>
      <c r="I10" s="1" t="str">
        <f aca="false">IFERROR(INDEX('globales-sys'!G:G, MATCH(F10,'globales-sys'!F:F, 0)), "")</f>
        <v/>
      </c>
      <c r="J10" s="3" t="b">
        <f aca="false">ISNUMBER(MATCH(F10,'globales-baas'!F:F, 0))</f>
        <v>0</v>
      </c>
      <c r="K10" s="1" t="str">
        <f aca="false">IFERROR(INDEX('globales-baas'!G:G, MATCH(F10,'globales-baas'!F:F, 0)), "")</f>
        <v/>
      </c>
      <c r="L10" s="3" t="b">
        <f aca="false">ISNUMBER(MATCH(F10,'globales-bff'!F:F, 0))</f>
        <v>0</v>
      </c>
      <c r="M10" s="1" t="str">
        <f aca="false">IFERROR(INDEX('globales-bff'!G:G, MATCH(F10,'globales-bff'!F:F, 0)), "")</f>
        <v/>
      </c>
    </row>
    <row r="11" customFormat="false" ht="12.8" hidden="false" customHeight="false" outlineLevel="0" collapsed="false">
      <c r="A11" s="0" t="s">
        <v>2682</v>
      </c>
      <c r="B11" s="0" t="s">
        <v>3174</v>
      </c>
      <c r="C11" s="0" t="n">
        <v>200</v>
      </c>
      <c r="D11" s="0" t="s">
        <v>3175</v>
      </c>
      <c r="E11" s="0" t="s">
        <v>3176</v>
      </c>
      <c r="F11" s="0" t="s">
        <v>3187</v>
      </c>
      <c r="G11" s="0" t="s">
        <v>3188</v>
      </c>
      <c r="H11" s="3" t="b">
        <f aca="false">ISNUMBER(MATCH(F11,'globales-sys'!F:F, 0))</f>
        <v>0</v>
      </c>
      <c r="I11" s="1" t="str">
        <f aca="false">IFERROR(INDEX('globales-sys'!G:G, MATCH(F11,'globales-sys'!F:F, 0)), "")</f>
        <v/>
      </c>
      <c r="J11" s="3" t="b">
        <f aca="false">ISNUMBER(MATCH(F11,'globales-baas'!F:F, 0))</f>
        <v>0</v>
      </c>
      <c r="K11" s="1" t="str">
        <f aca="false">IFERROR(INDEX('globales-baas'!G:G, MATCH(F11,'globales-baas'!F:F, 0)), "")</f>
        <v/>
      </c>
      <c r="L11" s="3" t="b">
        <f aca="false">ISNUMBER(MATCH(F11,'globales-bff'!F:F, 0))</f>
        <v>0</v>
      </c>
      <c r="M11" s="1" t="str">
        <f aca="false">IFERROR(INDEX('globales-bff'!G:G, MATCH(F11,'globales-bff'!F:F, 0)), "")</f>
        <v/>
      </c>
    </row>
    <row r="12" customFormat="false" ht="12.8" hidden="false" customHeight="false" outlineLevel="0" collapsed="false">
      <c r="A12" s="0" t="s">
        <v>2682</v>
      </c>
      <c r="B12" s="0" t="s">
        <v>3174</v>
      </c>
      <c r="C12" s="0" t="n">
        <v>200</v>
      </c>
      <c r="D12" s="0" t="s">
        <v>3175</v>
      </c>
      <c r="E12" s="0" t="s">
        <v>3176</v>
      </c>
      <c r="F12" s="0" t="s">
        <v>3189</v>
      </c>
      <c r="G12" s="0" t="s">
        <v>3190</v>
      </c>
      <c r="H12" s="3" t="b">
        <f aca="false">ISNUMBER(MATCH(F12,'globales-sys'!F:F, 0))</f>
        <v>0</v>
      </c>
      <c r="I12" s="1" t="str">
        <f aca="false">IFERROR(INDEX('globales-sys'!G:G, MATCH(F12,'globales-sys'!F:F, 0)), "")</f>
        <v/>
      </c>
      <c r="J12" s="3" t="b">
        <f aca="false">ISNUMBER(MATCH(F12,'globales-baas'!F:F, 0))</f>
        <v>0</v>
      </c>
      <c r="K12" s="1" t="str">
        <f aca="false">IFERROR(INDEX('globales-baas'!G:G, MATCH(F12,'globales-baas'!F:F, 0)), "")</f>
        <v/>
      </c>
      <c r="L12" s="3" t="b">
        <f aca="false">ISNUMBER(MATCH(F12,'globales-bff'!F:F, 0))</f>
        <v>0</v>
      </c>
      <c r="M12" s="1" t="str">
        <f aca="false">IFERROR(INDEX('globales-bff'!G:G, MATCH(F12,'globales-bff'!F:F, 0)), "")</f>
        <v/>
      </c>
    </row>
    <row r="13" customFormat="false" ht="12.8" hidden="false" customHeight="false" outlineLevel="0" collapsed="false">
      <c r="A13" s="0" t="s">
        <v>2682</v>
      </c>
      <c r="B13" s="0" t="s">
        <v>3174</v>
      </c>
      <c r="C13" s="0" t="n">
        <v>200</v>
      </c>
      <c r="D13" s="0" t="s">
        <v>3175</v>
      </c>
      <c r="E13" s="0" t="s">
        <v>3176</v>
      </c>
      <c r="F13" s="0" t="s">
        <v>3191</v>
      </c>
      <c r="G13" s="0" t="s">
        <v>3192</v>
      </c>
      <c r="H13" s="3" t="b">
        <f aca="false">ISNUMBER(MATCH(F13,'globales-sys'!F:F, 0))</f>
        <v>0</v>
      </c>
      <c r="I13" s="1" t="str">
        <f aca="false">IFERROR(INDEX('globales-sys'!G:G, MATCH(F13,'globales-sys'!F:F, 0)), "")</f>
        <v/>
      </c>
      <c r="J13" s="3" t="b">
        <f aca="false">ISNUMBER(MATCH(F13,'globales-baas'!F:F, 0))</f>
        <v>0</v>
      </c>
      <c r="K13" s="1" t="str">
        <f aca="false">IFERROR(INDEX('globales-baas'!G:G, MATCH(F13,'globales-baas'!F:F, 0)), "")</f>
        <v/>
      </c>
      <c r="L13" s="3" t="b">
        <f aca="false">ISNUMBER(MATCH(F13,'globales-bff'!F:F, 0))</f>
        <v>0</v>
      </c>
      <c r="M13" s="1" t="str">
        <f aca="false">IFERROR(INDEX('globales-bff'!G:G, MATCH(F13,'globales-bff'!F:F, 0)), "")</f>
        <v/>
      </c>
    </row>
    <row r="14" customFormat="false" ht="12.8" hidden="false" customHeight="false" outlineLevel="0" collapsed="false">
      <c r="A14" s="0" t="s">
        <v>2682</v>
      </c>
      <c r="B14" s="0" t="s">
        <v>3174</v>
      </c>
      <c r="C14" s="0" t="n">
        <v>200</v>
      </c>
      <c r="D14" s="0" t="s">
        <v>3175</v>
      </c>
      <c r="E14" s="0" t="s">
        <v>3176</v>
      </c>
      <c r="F14" s="0" t="s">
        <v>3193</v>
      </c>
      <c r="G14" s="0" t="s">
        <v>3194</v>
      </c>
      <c r="H14" s="3" t="b">
        <f aca="false">ISNUMBER(MATCH(F14,'globales-sys'!F:F, 0))</f>
        <v>0</v>
      </c>
      <c r="I14" s="1" t="str">
        <f aca="false">IFERROR(INDEX('globales-sys'!G:G, MATCH(F14,'globales-sys'!F:F, 0)), "")</f>
        <v/>
      </c>
      <c r="J14" s="3" t="b">
        <f aca="false">ISNUMBER(MATCH(F14,'globales-baas'!F:F, 0))</f>
        <v>0</v>
      </c>
      <c r="K14" s="1" t="str">
        <f aca="false">IFERROR(INDEX('globales-baas'!G:G, MATCH(F14,'globales-baas'!F:F, 0)), "")</f>
        <v/>
      </c>
      <c r="L14" s="3" t="b">
        <f aca="false">ISNUMBER(MATCH(F14,'globales-bff'!F:F, 0))</f>
        <v>0</v>
      </c>
      <c r="M14" s="1" t="str">
        <f aca="false">IFERROR(INDEX('globales-bff'!G:G, MATCH(F14,'globales-bff'!F:F, 0)), "")</f>
        <v/>
      </c>
    </row>
    <row r="15" customFormat="false" ht="12.8" hidden="false" customHeight="false" outlineLevel="0" collapsed="false">
      <c r="A15" s="0" t="s">
        <v>2297</v>
      </c>
      <c r="B15" s="0" t="s">
        <v>3195</v>
      </c>
      <c r="C15" s="0" t="n">
        <v>200</v>
      </c>
      <c r="D15" s="0" t="s">
        <v>3173</v>
      </c>
      <c r="E15" s="0" t="s">
        <v>3176</v>
      </c>
      <c r="F15" s="0" t="s">
        <v>3196</v>
      </c>
      <c r="G15" s="0" t="s">
        <v>3197</v>
      </c>
      <c r="H15" s="3" t="b">
        <f aca="false">ISNUMBER(MATCH(F15,'globales-sys'!F:F, 0))</f>
        <v>0</v>
      </c>
      <c r="I15" s="1" t="str">
        <f aca="false">IFERROR(INDEX('globales-sys'!G:G, MATCH(F15,'globales-sys'!F:F, 0)), "")</f>
        <v/>
      </c>
      <c r="J15" s="3" t="b">
        <f aca="false">ISNUMBER(MATCH(F15,'globales-baas'!F:F, 0))</f>
        <v>0</v>
      </c>
      <c r="K15" s="1" t="str">
        <f aca="false">IFERROR(INDEX('globales-baas'!G:G, MATCH(F15,'globales-baas'!F:F, 0)), "")</f>
        <v/>
      </c>
      <c r="L15" s="3" t="b">
        <f aca="false">ISNUMBER(MATCH(F15,'globales-bff'!F:F, 0))</f>
        <v>0</v>
      </c>
      <c r="M15" s="1" t="str">
        <f aca="false">IFERROR(INDEX('globales-bff'!G:G, MATCH(F15,'globales-bff'!F:F, 0)), "")</f>
        <v/>
      </c>
    </row>
    <row r="16" customFormat="false" ht="12.8" hidden="false" customHeight="false" outlineLevel="0" collapsed="false">
      <c r="A16" s="0" t="s">
        <v>2297</v>
      </c>
      <c r="B16" s="0" t="s">
        <v>3195</v>
      </c>
      <c r="C16" s="0" t="n">
        <v>200</v>
      </c>
      <c r="D16" s="0" t="s">
        <v>3173</v>
      </c>
      <c r="E16" s="0" t="s">
        <v>3176</v>
      </c>
      <c r="F16" s="0" t="s">
        <v>3198</v>
      </c>
      <c r="G16" s="0" t="s">
        <v>3199</v>
      </c>
      <c r="H16" s="3" t="b">
        <f aca="false">ISNUMBER(MATCH(F16,'globales-sys'!F:F, 0))</f>
        <v>1</v>
      </c>
      <c r="I16" s="1" t="str">
        <f aca="false">IFERROR(INDEX('globales-sys'!G:G, MATCH(F16,'globales-sys'!F:F, 0)), "")</f>
        <v>https://ms-infra-mainframe-adapter-pro-ns-inf.${PROVIDER_SUFFIX_URL:apps.pro.aws.bancsabadell.com}</v>
      </c>
      <c r="J16" s="3" t="b">
        <f aca="false">ISNUMBER(MATCH(F16,'globales-baas'!F:F, 0))</f>
        <v>0</v>
      </c>
      <c r="K16" s="1" t="str">
        <f aca="false">IFERROR(INDEX('globales-baas'!G:G, MATCH(F16,'globales-baas'!F:F, 0)), "")</f>
        <v/>
      </c>
      <c r="L16" s="3" t="b">
        <f aca="false">ISNUMBER(MATCH(F16,'globales-bff'!F:F, 0))</f>
        <v>0</v>
      </c>
      <c r="M16" s="1" t="str">
        <f aca="false">IFERROR(INDEX('globales-bff'!G:G, MATCH(F16,'globales-bff'!F:F, 0)), "")</f>
        <v/>
      </c>
    </row>
    <row r="17" customFormat="false" ht="12.8" hidden="false" customHeight="false" outlineLevel="0" collapsed="false">
      <c r="A17" s="0" t="s">
        <v>2160</v>
      </c>
      <c r="B17" s="0" t="s">
        <v>3200</v>
      </c>
      <c r="C17" s="0" t="n">
        <v>200</v>
      </c>
      <c r="D17" s="0" t="s">
        <v>3173</v>
      </c>
      <c r="E17" s="0" t="s">
        <v>3176</v>
      </c>
      <c r="F17" s="0" t="s">
        <v>3196</v>
      </c>
      <c r="G17" s="0" t="s">
        <v>3197</v>
      </c>
      <c r="H17" s="3" t="b">
        <f aca="false">ISNUMBER(MATCH(F17,'globales-sys'!F:F, 0))</f>
        <v>0</v>
      </c>
      <c r="I17" s="1" t="str">
        <f aca="false">IFERROR(INDEX('globales-sys'!G:G, MATCH(F17,'globales-sys'!F:F, 0)), "")</f>
        <v/>
      </c>
      <c r="J17" s="3" t="b">
        <f aca="false">ISNUMBER(MATCH(F17,'globales-baas'!F:F, 0))</f>
        <v>0</v>
      </c>
      <c r="K17" s="1" t="str">
        <f aca="false">IFERROR(INDEX('globales-baas'!G:G, MATCH(F17,'globales-baas'!F:F, 0)), "")</f>
        <v/>
      </c>
      <c r="L17" s="3" t="b">
        <f aca="false">ISNUMBER(MATCH(F17,'globales-bff'!F:F, 0))</f>
        <v>0</v>
      </c>
      <c r="M17" s="1" t="str">
        <f aca="false">IFERROR(INDEX('globales-bff'!G:G, MATCH(F17,'globales-bff'!F:F, 0)), "")</f>
        <v/>
      </c>
    </row>
    <row r="18" customFormat="false" ht="12.8" hidden="false" customHeight="false" outlineLevel="0" collapsed="false">
      <c r="A18" s="0" t="s">
        <v>2160</v>
      </c>
      <c r="B18" s="0" t="s">
        <v>3200</v>
      </c>
      <c r="C18" s="0" t="n">
        <v>200</v>
      </c>
      <c r="D18" s="0" t="s">
        <v>3173</v>
      </c>
      <c r="E18" s="0" t="s">
        <v>3176</v>
      </c>
      <c r="F18" s="0" t="s">
        <v>3198</v>
      </c>
      <c r="G18" s="0" t="s">
        <v>3199</v>
      </c>
      <c r="H18" s="3" t="b">
        <f aca="false">ISNUMBER(MATCH(F18,'globales-sys'!F:F, 0))</f>
        <v>1</v>
      </c>
      <c r="I18" s="1" t="str">
        <f aca="false">IFERROR(INDEX('globales-sys'!G:G, MATCH(F18,'globales-sys'!F:F, 0)), "")</f>
        <v>https://ms-infra-mainframe-adapter-pro-ns-inf.${PROVIDER_SUFFIX_URL:apps.pro.aws.bancsabadell.com}</v>
      </c>
      <c r="J18" s="3" t="b">
        <f aca="false">ISNUMBER(MATCH(F18,'globales-baas'!F:F, 0))</f>
        <v>0</v>
      </c>
      <c r="K18" s="1" t="str">
        <f aca="false">IFERROR(INDEX('globales-baas'!G:G, MATCH(F18,'globales-baas'!F:F, 0)), "")</f>
        <v/>
      </c>
      <c r="L18" s="3" t="b">
        <f aca="false">ISNUMBER(MATCH(F18,'globales-bff'!F:F, 0))</f>
        <v>0</v>
      </c>
      <c r="M18" s="1" t="str">
        <f aca="false">IFERROR(INDEX('globales-bff'!G:G, MATCH(F18,'globales-bff'!F:F, 0)), "")</f>
        <v/>
      </c>
    </row>
    <row r="19" customFormat="false" ht="12.8" hidden="false" customHeight="false" outlineLevel="0" collapsed="false">
      <c r="A19" s="0" t="s">
        <v>2471</v>
      </c>
      <c r="B19" s="0" t="s">
        <v>3201</v>
      </c>
      <c r="C19" s="0" t="n">
        <v>404</v>
      </c>
      <c r="D19" s="0" t="s">
        <v>3175</v>
      </c>
      <c r="E19" s="0" t="n">
        <v>404</v>
      </c>
      <c r="H19" s="3" t="b">
        <f aca="false">ISNUMBER(MATCH(F19,'globales-sys'!F:F, 0))</f>
        <v>0</v>
      </c>
      <c r="I19" s="1" t="str">
        <f aca="false">IFERROR(INDEX('globales-sys'!G:G, MATCH(F19,'globales-sys'!F:F, 0)), "")</f>
        <v/>
      </c>
      <c r="J19" s="3" t="b">
        <f aca="false">ISNUMBER(MATCH(F19,'globales-baas'!F:F, 0))</f>
        <v>0</v>
      </c>
      <c r="K19" s="1" t="str">
        <f aca="false">IFERROR(INDEX('globales-baas'!G:G, MATCH(F19,'globales-baas'!F:F, 0)), "")</f>
        <v/>
      </c>
      <c r="L19" s="3" t="b">
        <f aca="false">ISNUMBER(MATCH(F19,'globales-bff'!F:F, 0))</f>
        <v>0</v>
      </c>
      <c r="M19" s="1" t="str">
        <f aca="false">IFERROR(INDEX('globales-bff'!G:G, MATCH(F19,'globales-bff'!F:F, 0)), "")</f>
        <v/>
      </c>
    </row>
    <row r="20" customFormat="false" ht="12.8" hidden="false" customHeight="false" outlineLevel="0" collapsed="false">
      <c r="A20" s="0" t="s">
        <v>1192</v>
      </c>
      <c r="B20" s="0" t="s">
        <v>3202</v>
      </c>
      <c r="C20" s="0" t="n">
        <v>404</v>
      </c>
      <c r="D20" s="0" t="s">
        <v>3175</v>
      </c>
      <c r="E20" s="0" t="n">
        <v>404</v>
      </c>
      <c r="H20" s="3" t="b">
        <f aca="false">ISNUMBER(MATCH(F20,'globales-sys'!F:F, 0))</f>
        <v>0</v>
      </c>
      <c r="I20" s="1" t="str">
        <f aca="false">IFERROR(INDEX('globales-sys'!G:G, MATCH(F20,'globales-sys'!F:F, 0)), "")</f>
        <v/>
      </c>
      <c r="J20" s="3" t="b">
        <f aca="false">ISNUMBER(MATCH(F20,'globales-baas'!F:F, 0))</f>
        <v>0</v>
      </c>
      <c r="K20" s="1" t="str">
        <f aca="false">IFERROR(INDEX('globales-baas'!G:G, MATCH(F20,'globales-baas'!F:F, 0)), "")</f>
        <v/>
      </c>
      <c r="L20" s="3" t="b">
        <f aca="false">ISNUMBER(MATCH(F20,'globales-bff'!F:F, 0))</f>
        <v>0</v>
      </c>
      <c r="M20" s="1" t="str">
        <f aca="false">IFERROR(INDEX('globales-bff'!G:G, MATCH(F20,'globales-bff'!F:F, 0)), "")</f>
        <v/>
      </c>
    </row>
    <row r="21" customFormat="false" ht="12.8" hidden="false" customHeight="false" outlineLevel="0" collapsed="false">
      <c r="A21" s="0" t="s">
        <v>1470</v>
      </c>
      <c r="B21" s="0" t="s">
        <v>3203</v>
      </c>
      <c r="C21" s="0" t="n">
        <v>200</v>
      </c>
      <c r="D21" s="0" t="s">
        <v>3204</v>
      </c>
      <c r="E21" s="0" t="s">
        <v>3176</v>
      </c>
      <c r="F21" s="0" t="s">
        <v>3205</v>
      </c>
      <c r="G21" s="0" t="s">
        <v>3206</v>
      </c>
      <c r="H21" s="1" t="b">
        <f aca="false">ISNUMBER(MATCH(F21,'globales-sys'!F:F, 0))</f>
        <v>0</v>
      </c>
      <c r="I21" s="1" t="str">
        <f aca="false">IFERROR(INDEX('globales-sys'!G:G, MATCH(F21,'globales-sys'!F:F, 0)), "")</f>
        <v/>
      </c>
      <c r="J21" s="3" t="b">
        <f aca="false">ISNUMBER(MATCH(F21,'globales-baas'!F:F, 0))</f>
        <v>0</v>
      </c>
      <c r="K21" s="1" t="str">
        <f aca="false">IFERROR(INDEX('globales-baas'!G:G, MATCH(F21,'globales-baas'!F:F, 0)), "")</f>
        <v/>
      </c>
      <c r="L21" s="3" t="b">
        <f aca="false">ISNUMBER(MATCH(F21,'globales-bff'!F:F, 0))</f>
        <v>0</v>
      </c>
      <c r="M21" s="1" t="str">
        <f aca="false">IFERROR(INDEX('globales-bff'!G:G, MATCH(F21,'globales-bff'!F:F, 0)), "")</f>
        <v/>
      </c>
    </row>
    <row r="22" customFormat="false" ht="12.8" hidden="false" customHeight="false" outlineLevel="0" collapsed="false">
      <c r="A22" s="0" t="s">
        <v>1596</v>
      </c>
      <c r="B22" s="0" t="s">
        <v>3207</v>
      </c>
      <c r="C22" s="0" t="n">
        <v>200</v>
      </c>
      <c r="D22" s="0" t="s">
        <v>3208</v>
      </c>
      <c r="E22" s="0" t="s">
        <v>3176</v>
      </c>
      <c r="F22" s="0" t="s">
        <v>3198</v>
      </c>
      <c r="G22" s="0" t="s">
        <v>3199</v>
      </c>
      <c r="H22" s="1" t="b">
        <f aca="false">ISNUMBER(MATCH(F22,'globales-sys'!F:F, 0))</f>
        <v>1</v>
      </c>
      <c r="I22" s="1" t="str">
        <f aca="false">IFERROR(INDEX('globales-sys'!G:G, MATCH(F22,'globales-sys'!F:F, 0)), "")</f>
        <v>https://ms-infra-mainframe-adapter-pro-ns-inf.${PROVIDER_SUFFIX_URL:apps.pro.aws.bancsabadell.com}</v>
      </c>
      <c r="J22" s="3" t="b">
        <f aca="false">ISNUMBER(MATCH(F22,'globales-baas'!F:F, 0))</f>
        <v>0</v>
      </c>
      <c r="K22" s="1" t="str">
        <f aca="false">IFERROR(INDEX('globales-baas'!G:G, MATCH(F22,'globales-baas'!F:F, 0)), "")</f>
        <v/>
      </c>
      <c r="L22" s="3" t="b">
        <f aca="false">ISNUMBER(MATCH(F22,'globales-bff'!F:F, 0))</f>
        <v>0</v>
      </c>
      <c r="M22" s="1" t="str">
        <f aca="false">IFERROR(INDEX('globales-bff'!G:G, MATCH(F22,'globales-bff'!F:F, 0)), "")</f>
        <v/>
      </c>
    </row>
    <row r="23" customFormat="false" ht="12.8" hidden="false" customHeight="false" outlineLevel="0" collapsed="false">
      <c r="A23" s="0" t="s">
        <v>1638</v>
      </c>
      <c r="B23" s="0" t="s">
        <v>3209</v>
      </c>
      <c r="C23" s="0" t="n">
        <v>404</v>
      </c>
      <c r="D23" s="0" t="s">
        <v>3175</v>
      </c>
      <c r="E23" s="0" t="n">
        <v>404</v>
      </c>
      <c r="H23" s="3" t="b">
        <f aca="false">ISNUMBER(MATCH(F23,'globales-sys'!F:F, 0))</f>
        <v>0</v>
      </c>
      <c r="I23" s="1" t="str">
        <f aca="false">IFERROR(INDEX('globales-sys'!G:G, MATCH(F23,'globales-sys'!F:F, 0)), "")</f>
        <v/>
      </c>
      <c r="J23" s="3" t="b">
        <f aca="false">ISNUMBER(MATCH(F23,'globales-baas'!F:F, 0))</f>
        <v>0</v>
      </c>
      <c r="K23" s="1" t="str">
        <f aca="false">IFERROR(INDEX('globales-baas'!G:G, MATCH(F23,'globales-baas'!F:F, 0)), "")</f>
        <v/>
      </c>
      <c r="L23" s="3" t="b">
        <f aca="false">ISNUMBER(MATCH(F23,'globales-bff'!F:F, 0))</f>
        <v>0</v>
      </c>
      <c r="M23" s="1" t="str">
        <f aca="false">IFERROR(INDEX('globales-bff'!G:G, MATCH(F23,'globales-bff'!F:F, 0)), "")</f>
        <v/>
      </c>
    </row>
    <row r="24" customFormat="false" ht="12.8" hidden="false" customHeight="false" outlineLevel="0" collapsed="false">
      <c r="A24" s="0" t="s">
        <v>2451</v>
      </c>
      <c r="B24" s="0" t="s">
        <v>3210</v>
      </c>
      <c r="C24" s="0" t="n">
        <v>200</v>
      </c>
      <c r="D24" s="0" t="s">
        <v>3211</v>
      </c>
      <c r="E24" s="0" t="s">
        <v>3176</v>
      </c>
      <c r="F24" s="0" t="s">
        <v>3212</v>
      </c>
      <c r="G24" s="0" t="s">
        <v>3213</v>
      </c>
      <c r="H24" s="3" t="b">
        <f aca="false">ISNUMBER(MATCH(F24,'globales-sys'!F:F, 0))</f>
        <v>1</v>
      </c>
      <c r="I24" s="1" t="str">
        <f aca="false">IFERROR(INDEX('globales-sys'!G:G, MATCH(F24,'globales-sys'!F:F, 0)), "")</f>
        <v>https://ms-storage-api-pro-ns-inf.${PROVIDER_SUFFIX_URL:apps.pro.aws.bancsabadell.com}/private-document-library-storage/v1</v>
      </c>
      <c r="J24" s="3" t="b">
        <f aca="false">ISNUMBER(MATCH(F24,'globales-baas'!F:F, 0))</f>
        <v>0</v>
      </c>
      <c r="K24" s="1" t="str">
        <f aca="false">IFERROR(INDEX('globales-baas'!G:G, MATCH(F24,'globales-baas'!F:F, 0)), "")</f>
        <v/>
      </c>
      <c r="L24" s="3" t="b">
        <f aca="false">ISNUMBER(MATCH(F24,'globales-bff'!F:F, 0))</f>
        <v>0</v>
      </c>
      <c r="M24" s="1" t="str">
        <f aca="false">IFERROR(INDEX('globales-bff'!G:G, MATCH(F24,'globales-bff'!F:F, 0)), "")</f>
        <v/>
      </c>
    </row>
    <row r="25" customFormat="false" ht="12.8" hidden="false" customHeight="false" outlineLevel="0" collapsed="false">
      <c r="A25" s="0" t="s">
        <v>2451</v>
      </c>
      <c r="B25" s="0" t="s">
        <v>3210</v>
      </c>
      <c r="C25" s="0" t="n">
        <v>200</v>
      </c>
      <c r="D25" s="0" t="s">
        <v>3211</v>
      </c>
      <c r="E25" s="0" t="s">
        <v>3176</v>
      </c>
      <c r="F25" s="0" t="s">
        <v>3205</v>
      </c>
      <c r="G25" s="0" t="s">
        <v>3206</v>
      </c>
      <c r="H25" s="1" t="b">
        <f aca="false">ISNUMBER(MATCH(F25,'globales-sys'!F:F, 0))</f>
        <v>0</v>
      </c>
      <c r="I25" s="1" t="str">
        <f aca="false">IFERROR(INDEX('globales-sys'!G:G, MATCH(F25,'globales-sys'!F:F, 0)), "")</f>
        <v/>
      </c>
      <c r="J25" s="3" t="b">
        <f aca="false">ISNUMBER(MATCH(F25,'globales-baas'!F:F, 0))</f>
        <v>0</v>
      </c>
      <c r="K25" s="1" t="str">
        <f aca="false">IFERROR(INDEX('globales-baas'!G:G, MATCH(F25,'globales-baas'!F:F, 0)), "")</f>
        <v/>
      </c>
      <c r="L25" s="3" t="b">
        <f aca="false">ISNUMBER(MATCH(F25,'globales-bff'!F:F, 0))</f>
        <v>0</v>
      </c>
      <c r="M25" s="1" t="str">
        <f aca="false">IFERROR(INDEX('globales-bff'!G:G, MATCH(F25,'globales-bff'!F:F, 0)), "")</f>
        <v/>
      </c>
    </row>
    <row r="26" customFormat="false" ht="12.8" hidden="false" customHeight="false" outlineLevel="0" collapsed="false">
      <c r="A26" s="0" t="s">
        <v>2451</v>
      </c>
      <c r="B26" s="0" t="s">
        <v>3210</v>
      </c>
      <c r="C26" s="0" t="n">
        <v>200</v>
      </c>
      <c r="D26" s="0" t="s">
        <v>3211</v>
      </c>
      <c r="E26" s="0" t="s">
        <v>3176</v>
      </c>
      <c r="F26" s="0" t="s">
        <v>3214</v>
      </c>
      <c r="G26" s="0" t="s">
        <v>3215</v>
      </c>
      <c r="H26" s="3" t="b">
        <f aca="false">ISNUMBER(MATCH(F26,'globales-sys'!F:F, 0))</f>
        <v>0</v>
      </c>
      <c r="I26" s="1" t="str">
        <f aca="false">IFERROR(INDEX('globales-sys'!G:G, MATCH(F26,'globales-sys'!F:F, 0)), "")</f>
        <v/>
      </c>
      <c r="J26" s="3" t="b">
        <f aca="false">ISNUMBER(MATCH(F26,'globales-baas'!F:F, 0))</f>
        <v>0</v>
      </c>
      <c r="K26" s="1" t="str">
        <f aca="false">IFERROR(INDEX('globales-baas'!G:G, MATCH(F26,'globales-baas'!F:F, 0)), "")</f>
        <v/>
      </c>
      <c r="L26" s="3" t="b">
        <f aca="false">ISNUMBER(MATCH(F26,'globales-bff'!F:F, 0))</f>
        <v>0</v>
      </c>
      <c r="M26" s="1" t="str">
        <f aca="false">IFERROR(INDEX('globales-bff'!G:G, MATCH(F26,'globales-bff'!F:F, 0)), "")</f>
        <v/>
      </c>
    </row>
    <row r="27" customFormat="false" ht="12.8" hidden="false" customHeight="false" outlineLevel="0" collapsed="false">
      <c r="A27" s="0" t="s">
        <v>2451</v>
      </c>
      <c r="B27" s="0" t="s">
        <v>3210</v>
      </c>
      <c r="C27" s="0" t="n">
        <v>200</v>
      </c>
      <c r="D27" s="0" t="s">
        <v>3211</v>
      </c>
      <c r="E27" s="0" t="s">
        <v>3176</v>
      </c>
      <c r="F27" s="0" t="s">
        <v>3216</v>
      </c>
      <c r="G27" s="0" t="s">
        <v>3217</v>
      </c>
      <c r="H27" s="3" t="b">
        <f aca="false">ISNUMBER(MATCH(F27,'globales-sys'!F:F, 0))</f>
        <v>0</v>
      </c>
      <c r="I27" s="1" t="str">
        <f aca="false">IFERROR(INDEX('globales-sys'!G:G, MATCH(F27,'globales-sys'!F:F, 0)), "")</f>
        <v/>
      </c>
      <c r="J27" s="3" t="b">
        <f aca="false">ISNUMBER(MATCH(F27,'globales-baas'!F:F, 0))</f>
        <v>0</v>
      </c>
      <c r="K27" s="1" t="str">
        <f aca="false">IFERROR(INDEX('globales-baas'!G:G, MATCH(F27,'globales-baas'!F:F, 0)), "")</f>
        <v/>
      </c>
      <c r="L27" s="3" t="b">
        <f aca="false">ISNUMBER(MATCH(F27,'globales-bff'!F:F, 0))</f>
        <v>0</v>
      </c>
      <c r="M27" s="1" t="str">
        <f aca="false">IFERROR(INDEX('globales-bff'!G:G, MATCH(F27,'globales-bff'!F:F, 0)), "")</f>
        <v/>
      </c>
    </row>
    <row r="28" customFormat="false" ht="12.8" hidden="false" customHeight="false" outlineLevel="0" collapsed="false">
      <c r="A28" s="0" t="s">
        <v>979</v>
      </c>
      <c r="B28" s="0" t="s">
        <v>3218</v>
      </c>
      <c r="C28" s="0" t="n">
        <v>200</v>
      </c>
      <c r="D28" s="0" t="s">
        <v>3219</v>
      </c>
      <c r="E28" s="0" t="s">
        <v>3176</v>
      </c>
      <c r="F28" s="0" t="s">
        <v>3177</v>
      </c>
      <c r="G28" s="0" t="s">
        <v>3220</v>
      </c>
      <c r="H28" s="3" t="b">
        <f aca="false">ISNUMBER(MATCH(F28,'globales-sys'!F:F, 0))</f>
        <v>0</v>
      </c>
      <c r="I28" s="1" t="str">
        <f aca="false">IFERROR(INDEX('globales-sys'!G:G, MATCH(F28,'globales-sys'!F:F, 0)), "")</f>
        <v/>
      </c>
      <c r="J28" s="3" t="b">
        <f aca="false">ISNUMBER(MATCH(F28,'globales-baas'!F:F, 0))</f>
        <v>0</v>
      </c>
      <c r="K28" s="1" t="str">
        <f aca="false">IFERROR(INDEX('globales-baas'!G:G, MATCH(F28,'globales-baas'!F:F, 0)), "")</f>
        <v/>
      </c>
      <c r="L28" s="3" t="b">
        <f aca="false">ISNUMBER(MATCH(F28,'globales-bff'!F:F, 0))</f>
        <v>0</v>
      </c>
      <c r="M28" s="1" t="str">
        <f aca="false">IFERROR(INDEX('globales-bff'!G:G, MATCH(F28,'globales-bff'!F:F, 0)), "")</f>
        <v/>
      </c>
    </row>
    <row r="29" customFormat="false" ht="12.8" hidden="false" customHeight="false" outlineLevel="0" collapsed="false">
      <c r="A29" s="0" t="s">
        <v>2204</v>
      </c>
      <c r="B29" s="0" t="s">
        <v>3221</v>
      </c>
      <c r="C29" s="0" t="n">
        <v>200</v>
      </c>
      <c r="D29" s="0" t="s">
        <v>3222</v>
      </c>
      <c r="E29" s="0" t="s">
        <v>3176</v>
      </c>
      <c r="F29" s="0" t="s">
        <v>3223</v>
      </c>
      <c r="G29" s="0" t="s">
        <v>3224</v>
      </c>
      <c r="H29" s="3" t="b">
        <f aca="false">ISNUMBER(MATCH(F29,'globales-sys'!F:F, 0))</f>
        <v>0</v>
      </c>
      <c r="I29" s="1" t="str">
        <f aca="false">IFERROR(INDEX('globales-sys'!G:G, MATCH(F29,'globales-sys'!F:F, 0)), "")</f>
        <v/>
      </c>
      <c r="J29" s="3" t="b">
        <f aca="false">ISNUMBER(MATCH(F29,'globales-baas'!F:F, 0))</f>
        <v>0</v>
      </c>
      <c r="K29" s="1" t="str">
        <f aca="false">IFERROR(INDEX('globales-baas'!G:G, MATCH(F29,'globales-baas'!F:F, 0)), "")</f>
        <v/>
      </c>
      <c r="L29" s="3" t="b">
        <f aca="false">ISNUMBER(MATCH(F29,'globales-bff'!F:F, 0))</f>
        <v>0</v>
      </c>
      <c r="M29" s="1" t="str">
        <f aca="false">IFERROR(INDEX('globales-bff'!G:G, MATCH(F29,'globales-bff'!F:F, 0)), "")</f>
        <v/>
      </c>
    </row>
    <row r="30" customFormat="false" ht="12.8" hidden="false" customHeight="false" outlineLevel="0" collapsed="false">
      <c r="A30" s="0" t="s">
        <v>691</v>
      </c>
      <c r="B30" s="0" t="s">
        <v>3225</v>
      </c>
      <c r="C30" s="0" t="n">
        <v>200</v>
      </c>
      <c r="D30" s="0" t="s">
        <v>3226</v>
      </c>
      <c r="E30" s="0" t="s">
        <v>3176</v>
      </c>
      <c r="F30" s="0" t="s">
        <v>3227</v>
      </c>
      <c r="G30" s="0" t="s">
        <v>3228</v>
      </c>
      <c r="H30" s="3" t="b">
        <f aca="false">ISNUMBER(MATCH(F30,'globales-sys'!F:F, 0))</f>
        <v>0</v>
      </c>
      <c r="I30" s="1" t="str">
        <f aca="false">IFERROR(INDEX('globales-sys'!G:G, MATCH(F30,'globales-sys'!F:F, 0)), "")</f>
        <v/>
      </c>
      <c r="J30" s="3" t="b">
        <f aca="false">ISNUMBER(MATCH(F30,'globales-baas'!F:F, 0))</f>
        <v>0</v>
      </c>
      <c r="K30" s="1" t="str">
        <f aca="false">IFERROR(INDEX('globales-baas'!G:G, MATCH(F30,'globales-baas'!F:F, 0)), "")</f>
        <v/>
      </c>
      <c r="L30" s="3" t="b">
        <f aca="false">ISNUMBER(MATCH(F30,'globales-bff'!F:F, 0))</f>
        <v>0</v>
      </c>
      <c r="M30" s="1" t="str">
        <f aca="false">IFERROR(INDEX('globales-bff'!G:G, MATCH(F30,'globales-bff'!F:F, 0)), "")</f>
        <v/>
      </c>
    </row>
    <row r="31" customFormat="false" ht="12.8" hidden="false" customHeight="false" outlineLevel="0" collapsed="false">
      <c r="A31" s="0" t="s">
        <v>691</v>
      </c>
      <c r="B31" s="0" t="s">
        <v>3225</v>
      </c>
      <c r="C31" s="0" t="n">
        <v>200</v>
      </c>
      <c r="D31" s="0" t="s">
        <v>3226</v>
      </c>
      <c r="E31" s="0" t="s">
        <v>3176</v>
      </c>
      <c r="F31" s="0" t="s">
        <v>3214</v>
      </c>
      <c r="G31" s="0" t="s">
        <v>3229</v>
      </c>
      <c r="H31" s="3" t="b">
        <f aca="false">ISNUMBER(MATCH(F31,'globales-sys'!F:F, 0))</f>
        <v>0</v>
      </c>
      <c r="I31" s="1" t="str">
        <f aca="false">IFERROR(INDEX('globales-sys'!G:G, MATCH(F31,'globales-sys'!F:F, 0)), "")</f>
        <v/>
      </c>
      <c r="J31" s="3" t="b">
        <f aca="false">ISNUMBER(MATCH(F31,'globales-baas'!F:F, 0))</f>
        <v>0</v>
      </c>
      <c r="K31" s="1" t="str">
        <f aca="false">IFERROR(INDEX('globales-baas'!G:G, MATCH(F31,'globales-baas'!F:F, 0)), "")</f>
        <v/>
      </c>
      <c r="L31" s="3" t="b">
        <f aca="false">ISNUMBER(MATCH(F31,'globales-bff'!F:F, 0))</f>
        <v>0</v>
      </c>
      <c r="M31" s="1" t="str">
        <f aca="false">IFERROR(INDEX('globales-bff'!G:G, MATCH(F31,'globales-bff'!F:F, 0)), "")</f>
        <v/>
      </c>
    </row>
    <row r="32" customFormat="false" ht="12.8" hidden="false" customHeight="false" outlineLevel="0" collapsed="false">
      <c r="A32" s="0" t="s">
        <v>1980</v>
      </c>
      <c r="B32" s="0" t="s">
        <v>3230</v>
      </c>
      <c r="C32" s="0" t="n">
        <v>404</v>
      </c>
      <c r="D32" s="0" t="s">
        <v>3208</v>
      </c>
      <c r="E32" s="0" t="n">
        <v>404</v>
      </c>
      <c r="H32" s="3" t="b">
        <f aca="false">ISNUMBER(MATCH(F32,'globales-sys'!F:F, 0))</f>
        <v>0</v>
      </c>
      <c r="I32" s="1" t="str">
        <f aca="false">IFERROR(INDEX('globales-sys'!G:G, MATCH(F32,'globales-sys'!F:F, 0)), "")</f>
        <v/>
      </c>
      <c r="J32" s="3" t="b">
        <f aca="false">ISNUMBER(MATCH(F32,'globales-baas'!F:F, 0))</f>
        <v>0</v>
      </c>
      <c r="K32" s="1" t="str">
        <f aca="false">IFERROR(INDEX('globales-baas'!G:G, MATCH(F32,'globales-baas'!F:F, 0)), "")</f>
        <v/>
      </c>
      <c r="L32" s="3" t="b">
        <f aca="false">ISNUMBER(MATCH(F32,'globales-bff'!F:F, 0))</f>
        <v>0</v>
      </c>
      <c r="M32" s="1" t="str">
        <f aca="false">IFERROR(INDEX('globales-bff'!G:G, MATCH(F32,'globales-bff'!F:F, 0)), "")</f>
        <v/>
      </c>
    </row>
    <row r="33" customFormat="false" ht="12.8" hidden="false" customHeight="false" outlineLevel="0" collapsed="false">
      <c r="A33" s="0" t="s">
        <v>2977</v>
      </c>
      <c r="B33" s="0" t="s">
        <v>3231</v>
      </c>
      <c r="C33" s="0" t="n">
        <v>404</v>
      </c>
      <c r="D33" s="0" t="s">
        <v>3232</v>
      </c>
      <c r="E33" s="0" t="n">
        <v>404</v>
      </c>
      <c r="H33" s="3" t="b">
        <f aca="false">ISNUMBER(MATCH(F33,'globales-sys'!F:F, 0))</f>
        <v>0</v>
      </c>
      <c r="I33" s="1" t="str">
        <f aca="false">IFERROR(INDEX('globales-sys'!G:G, MATCH(F33,'globales-sys'!F:F, 0)), "")</f>
        <v/>
      </c>
      <c r="J33" s="3" t="b">
        <f aca="false">ISNUMBER(MATCH(F33,'globales-baas'!F:F, 0))</f>
        <v>0</v>
      </c>
      <c r="K33" s="1" t="str">
        <f aca="false">IFERROR(INDEX('globales-baas'!G:G, MATCH(F33,'globales-baas'!F:F, 0)), "")</f>
        <v/>
      </c>
      <c r="L33" s="3" t="b">
        <f aca="false">ISNUMBER(MATCH(F33,'globales-bff'!F:F, 0))</f>
        <v>0</v>
      </c>
      <c r="M33" s="1" t="str">
        <f aca="false">IFERROR(INDEX('globales-bff'!G:G, MATCH(F33,'globales-bff'!F:F, 0)), "")</f>
        <v/>
      </c>
    </row>
    <row r="34" customFormat="false" ht="12.8" hidden="false" customHeight="false" outlineLevel="0" collapsed="false">
      <c r="A34" s="0" t="s">
        <v>826</v>
      </c>
      <c r="B34" s="0" t="s">
        <v>3233</v>
      </c>
      <c r="C34" s="0" t="n">
        <v>200</v>
      </c>
      <c r="D34" s="0" t="s">
        <v>3234</v>
      </c>
      <c r="E34" s="0" t="s">
        <v>3176</v>
      </c>
      <c r="F34" s="0" t="s">
        <v>3235</v>
      </c>
      <c r="G34" s="0" t="s">
        <v>3236</v>
      </c>
      <c r="H34" s="3" t="b">
        <f aca="false">ISNUMBER(MATCH(F34,'globales-sys'!F:F, 0))</f>
        <v>0</v>
      </c>
      <c r="I34" s="1" t="str">
        <f aca="false">IFERROR(INDEX('globales-sys'!G:G, MATCH(F34,'globales-sys'!F:F, 0)), "")</f>
        <v/>
      </c>
      <c r="J34" s="3" t="b">
        <f aca="false">ISNUMBER(MATCH(F34,'globales-baas'!F:F, 0))</f>
        <v>0</v>
      </c>
      <c r="K34" s="1" t="str">
        <f aca="false">IFERROR(INDEX('globales-baas'!G:G, MATCH(F34,'globales-baas'!F:F, 0)), "")</f>
        <v/>
      </c>
      <c r="L34" s="3" t="b">
        <f aca="false">ISNUMBER(MATCH(F34,'globales-bff'!F:F, 0))</f>
        <v>0</v>
      </c>
      <c r="M34" s="1" t="str">
        <f aca="false">IFERROR(INDEX('globales-bff'!G:G, MATCH(F34,'globales-bff'!F:F, 0)), "")</f>
        <v/>
      </c>
    </row>
    <row r="35" customFormat="false" ht="12.8" hidden="false" customHeight="false" outlineLevel="0" collapsed="false">
      <c r="A35" s="0" t="s">
        <v>826</v>
      </c>
      <c r="B35" s="0" t="s">
        <v>3233</v>
      </c>
      <c r="C35" s="0" t="n">
        <v>200</v>
      </c>
      <c r="D35" s="0" t="s">
        <v>3234</v>
      </c>
      <c r="E35" s="0" t="s">
        <v>3176</v>
      </c>
      <c r="F35" s="0" t="s">
        <v>3237</v>
      </c>
      <c r="G35" s="0" t="s">
        <v>3238</v>
      </c>
      <c r="H35" s="1" t="b">
        <f aca="false">ISNUMBER(MATCH(F35,'globales-sys'!F:F, 0))</f>
        <v>0</v>
      </c>
      <c r="I35" s="1" t="str">
        <f aca="false">IFERROR(INDEX('globales-sys'!G:G, MATCH(F35,'globales-sys'!F:F, 0)), "")</f>
        <v/>
      </c>
      <c r="J35" s="3" t="b">
        <f aca="false">ISNUMBER(MATCH(F35,'globales-baas'!F:F, 0))</f>
        <v>0</v>
      </c>
      <c r="K35" s="1" t="str">
        <f aca="false">IFERROR(INDEX('globales-baas'!G:G, MATCH(F35,'globales-baas'!F:F, 0)), "")</f>
        <v/>
      </c>
      <c r="L35" s="3" t="b">
        <f aca="false">ISNUMBER(MATCH(F35,'globales-bff'!F:F, 0))</f>
        <v>0</v>
      </c>
      <c r="M35" s="1" t="str">
        <f aca="false">IFERROR(INDEX('globales-bff'!G:G, MATCH(F35,'globales-bff'!F:F, 0)), "")</f>
        <v/>
      </c>
    </row>
    <row r="36" customFormat="false" ht="12.8" hidden="false" customHeight="false" outlineLevel="0" collapsed="false">
      <c r="A36" s="0" t="s">
        <v>826</v>
      </c>
      <c r="B36" s="0" t="s">
        <v>3233</v>
      </c>
      <c r="C36" s="0" t="n">
        <v>200</v>
      </c>
      <c r="D36" s="0" t="s">
        <v>3234</v>
      </c>
      <c r="E36" s="0" t="s">
        <v>3176</v>
      </c>
      <c r="F36" s="0" t="s">
        <v>3239</v>
      </c>
      <c r="G36" s="0" t="s">
        <v>3240</v>
      </c>
      <c r="H36" s="1" t="b">
        <f aca="false">ISNUMBER(MATCH(F36,'globales-sys'!F:F, 0))</f>
        <v>0</v>
      </c>
      <c r="I36" s="1" t="str">
        <f aca="false">IFERROR(INDEX('globales-sys'!G:G, MATCH(F36,'globales-sys'!F:F, 0)), "")</f>
        <v/>
      </c>
      <c r="J36" s="3" t="b">
        <f aca="false">ISNUMBER(MATCH(F36,'globales-baas'!F:F, 0))</f>
        <v>0</v>
      </c>
      <c r="K36" s="1" t="str">
        <f aca="false">IFERROR(INDEX('globales-baas'!G:G, MATCH(F36,'globales-baas'!F:F, 0)), "")</f>
        <v/>
      </c>
      <c r="L36" s="3" t="b">
        <f aca="false">ISNUMBER(MATCH(F36,'globales-bff'!F:F, 0))</f>
        <v>0</v>
      </c>
      <c r="M36" s="1" t="str">
        <f aca="false">IFERROR(INDEX('globales-bff'!G:G, MATCH(F36,'globales-bff'!F:F, 0)), "")</f>
        <v/>
      </c>
    </row>
    <row r="37" customFormat="false" ht="12.8" hidden="false" customHeight="false" outlineLevel="0" collapsed="false">
      <c r="A37" s="0" t="s">
        <v>826</v>
      </c>
      <c r="B37" s="0" t="s">
        <v>3233</v>
      </c>
      <c r="C37" s="0" t="n">
        <v>200</v>
      </c>
      <c r="D37" s="0" t="s">
        <v>3234</v>
      </c>
      <c r="E37" s="0" t="s">
        <v>3176</v>
      </c>
      <c r="F37" s="0" t="s">
        <v>3241</v>
      </c>
      <c r="G37" s="0" t="s">
        <v>3242</v>
      </c>
      <c r="H37" s="3" t="b">
        <f aca="false">ISNUMBER(MATCH(F37,'globales-sys'!F:F, 0))</f>
        <v>0</v>
      </c>
      <c r="I37" s="1" t="str">
        <f aca="false">IFERROR(INDEX('globales-sys'!G:G, MATCH(F37,'globales-sys'!F:F, 0)), "")</f>
        <v/>
      </c>
      <c r="J37" s="3" t="b">
        <f aca="false">ISNUMBER(MATCH(F37,'globales-baas'!F:F, 0))</f>
        <v>0</v>
      </c>
      <c r="K37" s="1" t="str">
        <f aca="false">IFERROR(INDEX('globales-baas'!G:G, MATCH(F37,'globales-baas'!F:F, 0)), "")</f>
        <v/>
      </c>
      <c r="L37" s="3" t="b">
        <f aca="false">ISNUMBER(MATCH(F37,'globales-bff'!F:F, 0))</f>
        <v>0</v>
      </c>
      <c r="M37" s="1" t="str">
        <f aca="false">IFERROR(INDEX('globales-bff'!G:G, MATCH(F37,'globales-bff'!F:F, 0)), "")</f>
        <v/>
      </c>
    </row>
    <row r="38" customFormat="false" ht="12.8" hidden="false" customHeight="false" outlineLevel="0" collapsed="false">
      <c r="A38" s="0" t="s">
        <v>826</v>
      </c>
      <c r="B38" s="0" t="s">
        <v>3233</v>
      </c>
      <c r="C38" s="0" t="n">
        <v>200</v>
      </c>
      <c r="D38" s="0" t="s">
        <v>3234</v>
      </c>
      <c r="E38" s="0" t="s">
        <v>3176</v>
      </c>
      <c r="F38" s="0" t="s">
        <v>3243</v>
      </c>
      <c r="G38" s="0" t="s">
        <v>3244</v>
      </c>
      <c r="H38" s="3" t="b">
        <f aca="false">ISNUMBER(MATCH(F38,'globales-sys'!F:F, 0))</f>
        <v>0</v>
      </c>
      <c r="I38" s="1" t="str">
        <f aca="false">IFERROR(INDEX('globales-sys'!G:G, MATCH(F38,'globales-sys'!F:F, 0)), "")</f>
        <v/>
      </c>
      <c r="J38" s="3" t="b">
        <f aca="false">ISNUMBER(MATCH(F38,'globales-baas'!F:F, 0))</f>
        <v>0</v>
      </c>
      <c r="K38" s="1" t="str">
        <f aca="false">IFERROR(INDEX('globales-baas'!G:G, MATCH(F38,'globales-baas'!F:F, 0)), "")</f>
        <v/>
      </c>
      <c r="L38" s="3" t="b">
        <f aca="false">ISNUMBER(MATCH(F38,'globales-bff'!F:F, 0))</f>
        <v>0</v>
      </c>
      <c r="M38" s="1" t="str">
        <f aca="false">IFERROR(INDEX('globales-bff'!G:G, MATCH(F38,'globales-bff'!F:F, 0)), "")</f>
        <v/>
      </c>
    </row>
    <row r="39" customFormat="false" ht="12.8" hidden="false" customHeight="false" outlineLevel="0" collapsed="false">
      <c r="A39" s="0" t="s">
        <v>826</v>
      </c>
      <c r="B39" s="0" t="s">
        <v>3233</v>
      </c>
      <c r="C39" s="0" t="n">
        <v>200</v>
      </c>
      <c r="D39" s="0" t="s">
        <v>3234</v>
      </c>
      <c r="E39" s="0" t="s">
        <v>3176</v>
      </c>
      <c r="F39" s="0" t="s">
        <v>3245</v>
      </c>
      <c r="G39" s="0" t="s">
        <v>3246</v>
      </c>
      <c r="H39" s="3" t="b">
        <f aca="false">ISNUMBER(MATCH(F39,'globales-sys'!F:F, 0))</f>
        <v>0</v>
      </c>
      <c r="I39" s="1" t="str">
        <f aca="false">IFERROR(INDEX('globales-sys'!G:G, MATCH(F39,'globales-sys'!F:F, 0)), "")</f>
        <v/>
      </c>
      <c r="J39" s="3" t="b">
        <f aca="false">ISNUMBER(MATCH(F39,'globales-baas'!F:F, 0))</f>
        <v>0</v>
      </c>
      <c r="K39" s="1" t="str">
        <f aca="false">IFERROR(INDEX('globales-baas'!G:G, MATCH(F39,'globales-baas'!F:F, 0)), "")</f>
        <v/>
      </c>
      <c r="L39" s="3" t="b">
        <f aca="false">ISNUMBER(MATCH(F39,'globales-bff'!F:F, 0))</f>
        <v>0</v>
      </c>
      <c r="M39" s="1" t="str">
        <f aca="false">IFERROR(INDEX('globales-bff'!G:G, MATCH(F39,'globales-bff'!F:F, 0)), "")</f>
        <v/>
      </c>
    </row>
    <row r="40" customFormat="false" ht="12.8" hidden="false" customHeight="false" outlineLevel="0" collapsed="false">
      <c r="A40" s="0" t="s">
        <v>826</v>
      </c>
      <c r="B40" s="0" t="s">
        <v>3233</v>
      </c>
      <c r="C40" s="0" t="n">
        <v>200</v>
      </c>
      <c r="D40" s="0" t="s">
        <v>3234</v>
      </c>
      <c r="E40" s="0" t="s">
        <v>3176</v>
      </c>
      <c r="F40" s="0" t="s">
        <v>3247</v>
      </c>
      <c r="G40" s="0" t="s">
        <v>3248</v>
      </c>
      <c r="H40" s="3" t="b">
        <f aca="false">ISNUMBER(MATCH(F40,'globales-sys'!F:F, 0))</f>
        <v>0</v>
      </c>
      <c r="I40" s="1" t="str">
        <f aca="false">IFERROR(INDEX('globales-sys'!G:G, MATCH(F40,'globales-sys'!F:F, 0)), "")</f>
        <v/>
      </c>
      <c r="J40" s="3" t="b">
        <f aca="false">ISNUMBER(MATCH(F40,'globales-baas'!F:F, 0))</f>
        <v>0</v>
      </c>
      <c r="K40" s="1" t="str">
        <f aca="false">IFERROR(INDEX('globales-baas'!G:G, MATCH(F40,'globales-baas'!F:F, 0)), "")</f>
        <v/>
      </c>
      <c r="L40" s="3" t="b">
        <f aca="false">ISNUMBER(MATCH(F40,'globales-bff'!F:F, 0))</f>
        <v>0</v>
      </c>
      <c r="M40" s="1" t="str">
        <f aca="false">IFERROR(INDEX('globales-bff'!G:G, MATCH(F40,'globales-bff'!F:F, 0)), "")</f>
        <v/>
      </c>
    </row>
    <row r="41" customFormat="false" ht="12.8" hidden="false" customHeight="false" outlineLevel="0" collapsed="false">
      <c r="A41" s="0" t="s">
        <v>826</v>
      </c>
      <c r="B41" s="0" t="s">
        <v>3233</v>
      </c>
      <c r="C41" s="0" t="n">
        <v>200</v>
      </c>
      <c r="D41" s="0" t="s">
        <v>3234</v>
      </c>
      <c r="E41" s="0" t="s">
        <v>3176</v>
      </c>
      <c r="F41" s="0" t="s">
        <v>3249</v>
      </c>
      <c r="G41" s="0" t="s">
        <v>3250</v>
      </c>
      <c r="H41" s="3" t="b">
        <f aca="false">ISNUMBER(MATCH(F41,'globales-sys'!F:F, 0))</f>
        <v>0</v>
      </c>
      <c r="I41" s="1" t="str">
        <f aca="false">IFERROR(INDEX('globales-sys'!G:G, MATCH(F41,'globales-sys'!F:F, 0)), "")</f>
        <v/>
      </c>
      <c r="J41" s="3" t="b">
        <f aca="false">ISNUMBER(MATCH(F41,'globales-baas'!F:F, 0))</f>
        <v>0</v>
      </c>
      <c r="K41" s="1" t="str">
        <f aca="false">IFERROR(INDEX('globales-baas'!G:G, MATCH(F41,'globales-baas'!F:F, 0)), "")</f>
        <v/>
      </c>
      <c r="L41" s="3" t="b">
        <f aca="false">ISNUMBER(MATCH(F41,'globales-bff'!F:F, 0))</f>
        <v>0</v>
      </c>
      <c r="M41" s="1" t="str">
        <f aca="false">IFERROR(INDEX('globales-bff'!G:G, MATCH(F41,'globales-bff'!F:F, 0)), "")</f>
        <v/>
      </c>
    </row>
    <row r="42" customFormat="false" ht="12.8" hidden="false" customHeight="false" outlineLevel="0" collapsed="false">
      <c r="A42" s="0" t="s">
        <v>826</v>
      </c>
      <c r="B42" s="0" t="s">
        <v>3233</v>
      </c>
      <c r="C42" s="0" t="n">
        <v>200</v>
      </c>
      <c r="D42" s="0" t="s">
        <v>3234</v>
      </c>
      <c r="E42" s="0" t="s">
        <v>3176</v>
      </c>
      <c r="F42" s="0" t="s">
        <v>3251</v>
      </c>
      <c r="G42" s="0" t="s">
        <v>3252</v>
      </c>
      <c r="H42" s="3" t="b">
        <f aca="false">ISNUMBER(MATCH(F42,'globales-sys'!F:F, 0))</f>
        <v>0</v>
      </c>
      <c r="I42" s="1" t="str">
        <f aca="false">IFERROR(INDEX('globales-sys'!G:G, MATCH(F42,'globales-sys'!F:F, 0)), "")</f>
        <v/>
      </c>
      <c r="J42" s="3" t="b">
        <f aca="false">ISNUMBER(MATCH(F42,'globales-baas'!F:F, 0))</f>
        <v>0</v>
      </c>
      <c r="K42" s="1" t="str">
        <f aca="false">IFERROR(INDEX('globales-baas'!G:G, MATCH(F42,'globales-baas'!F:F, 0)), "")</f>
        <v/>
      </c>
      <c r="L42" s="3" t="b">
        <f aca="false">ISNUMBER(MATCH(F42,'globales-bff'!F:F, 0))</f>
        <v>0</v>
      </c>
      <c r="M42" s="1" t="str">
        <f aca="false">IFERROR(INDEX('globales-bff'!G:G, MATCH(F42,'globales-bff'!F:F, 0)), "")</f>
        <v/>
      </c>
    </row>
    <row r="43" customFormat="false" ht="12.8" hidden="false" customHeight="false" outlineLevel="0" collapsed="false">
      <c r="A43" s="0" t="s">
        <v>826</v>
      </c>
      <c r="B43" s="0" t="s">
        <v>3233</v>
      </c>
      <c r="C43" s="0" t="n">
        <v>200</v>
      </c>
      <c r="D43" s="0" t="s">
        <v>3234</v>
      </c>
      <c r="E43" s="0" t="s">
        <v>3176</v>
      </c>
      <c r="F43" s="0" t="s">
        <v>3253</v>
      </c>
      <c r="G43" s="0" t="s">
        <v>3254</v>
      </c>
      <c r="H43" s="3" t="b">
        <f aca="false">ISNUMBER(MATCH(F43,'globales-sys'!F:F, 0))</f>
        <v>0</v>
      </c>
      <c r="I43" s="1" t="str">
        <f aca="false">IFERROR(INDEX('globales-sys'!G:G, MATCH(F43,'globales-sys'!F:F, 0)), "")</f>
        <v/>
      </c>
      <c r="J43" s="3" t="b">
        <f aca="false">ISNUMBER(MATCH(F43,'globales-baas'!F:F, 0))</f>
        <v>0</v>
      </c>
      <c r="K43" s="1" t="str">
        <f aca="false">IFERROR(INDEX('globales-baas'!G:G, MATCH(F43,'globales-baas'!F:F, 0)), "")</f>
        <v/>
      </c>
      <c r="L43" s="3" t="b">
        <f aca="false">ISNUMBER(MATCH(F43,'globales-bff'!F:F, 0))</f>
        <v>0</v>
      </c>
      <c r="M43" s="1" t="str">
        <f aca="false">IFERROR(INDEX('globales-bff'!G:G, MATCH(F43,'globales-bff'!F:F, 0)), "")</f>
        <v/>
      </c>
    </row>
    <row r="44" customFormat="false" ht="12.8" hidden="false" customHeight="false" outlineLevel="0" collapsed="false">
      <c r="A44" s="0" t="s">
        <v>2263</v>
      </c>
      <c r="B44" s="0" t="s">
        <v>3255</v>
      </c>
      <c r="C44" s="0" t="n">
        <v>404</v>
      </c>
      <c r="D44" s="0" t="s">
        <v>3256</v>
      </c>
      <c r="E44" s="0" t="n">
        <v>404</v>
      </c>
      <c r="H44" s="3" t="b">
        <f aca="false">ISNUMBER(MATCH(F44,'globales-sys'!F:F, 0))</f>
        <v>0</v>
      </c>
      <c r="I44" s="1" t="str">
        <f aca="false">IFERROR(INDEX('globales-sys'!G:G, MATCH(F44,'globales-sys'!F:F, 0)), "")</f>
        <v/>
      </c>
      <c r="J44" s="3" t="b">
        <f aca="false">ISNUMBER(MATCH(F44,'globales-baas'!F:F, 0))</f>
        <v>0</v>
      </c>
      <c r="K44" s="1" t="str">
        <f aca="false">IFERROR(INDEX('globales-baas'!G:G, MATCH(F44,'globales-baas'!F:F, 0)), "")</f>
        <v/>
      </c>
      <c r="L44" s="3" t="b">
        <f aca="false">ISNUMBER(MATCH(F44,'globales-bff'!F:F, 0))</f>
        <v>0</v>
      </c>
      <c r="M44" s="1" t="str">
        <f aca="false">IFERROR(INDEX('globales-bff'!G:G, MATCH(F44,'globales-bff'!F:F, 0)), "")</f>
        <v/>
      </c>
    </row>
    <row r="45" customFormat="false" ht="12.8" hidden="false" customHeight="false" outlineLevel="0" collapsed="false">
      <c r="A45" s="0" t="s">
        <v>1615</v>
      </c>
      <c r="B45" s="0" t="s">
        <v>3257</v>
      </c>
      <c r="C45" s="0" t="n">
        <v>404</v>
      </c>
      <c r="D45" s="0" t="s">
        <v>3258</v>
      </c>
      <c r="E45" s="0" t="n">
        <v>404</v>
      </c>
      <c r="H45" s="3" t="b">
        <f aca="false">ISNUMBER(MATCH(F45,'globales-sys'!F:F, 0))</f>
        <v>0</v>
      </c>
      <c r="I45" s="1" t="str">
        <f aca="false">IFERROR(INDEX('globales-sys'!G:G, MATCH(F45,'globales-sys'!F:F, 0)), "")</f>
        <v/>
      </c>
      <c r="J45" s="3" t="b">
        <f aca="false">ISNUMBER(MATCH(F45,'globales-baas'!F:F, 0))</f>
        <v>0</v>
      </c>
      <c r="K45" s="1" t="str">
        <f aca="false">IFERROR(INDEX('globales-baas'!G:G, MATCH(F45,'globales-baas'!F:F, 0)), "")</f>
        <v/>
      </c>
      <c r="L45" s="3" t="b">
        <f aca="false">ISNUMBER(MATCH(F45,'globales-bff'!F:F, 0))</f>
        <v>0</v>
      </c>
      <c r="M45" s="1" t="str">
        <f aca="false">IFERROR(INDEX('globales-bff'!G:G, MATCH(F45,'globales-bff'!F:F, 0)), "")</f>
        <v/>
      </c>
    </row>
    <row r="46" customFormat="false" ht="12.8" hidden="false" customHeight="false" outlineLevel="0" collapsed="false">
      <c r="A46" s="0" t="s">
        <v>3109</v>
      </c>
      <c r="B46" s="0" t="s">
        <v>3259</v>
      </c>
      <c r="C46" s="0" t="n">
        <v>401</v>
      </c>
      <c r="D46" s="0" t="s">
        <v>3260</v>
      </c>
      <c r="E46" s="0" t="n">
        <v>401</v>
      </c>
      <c r="H46" s="3" t="b">
        <f aca="false">ISNUMBER(MATCH(F46,'globales-sys'!F:F, 0))</f>
        <v>0</v>
      </c>
      <c r="I46" s="1" t="str">
        <f aca="false">IFERROR(INDEX('globales-sys'!G:G, MATCH(F46,'globales-sys'!F:F, 0)), "")</f>
        <v/>
      </c>
      <c r="J46" s="3" t="b">
        <f aca="false">ISNUMBER(MATCH(F46,'globales-baas'!F:F, 0))</f>
        <v>0</v>
      </c>
      <c r="K46" s="1" t="str">
        <f aca="false">IFERROR(INDEX('globales-baas'!G:G, MATCH(F46,'globales-baas'!F:F, 0)), "")</f>
        <v/>
      </c>
      <c r="L46" s="3" t="b">
        <f aca="false">ISNUMBER(MATCH(F46,'globales-bff'!F:F, 0))</f>
        <v>0</v>
      </c>
      <c r="M46" s="1" t="str">
        <f aca="false">IFERROR(INDEX('globales-bff'!G:G, MATCH(F46,'globales-bff'!F:F, 0)), "")</f>
        <v/>
      </c>
    </row>
    <row r="47" customFormat="false" ht="12.8" hidden="false" customHeight="false" outlineLevel="0" collapsed="false">
      <c r="A47" s="0" t="s">
        <v>1045</v>
      </c>
      <c r="B47" s="0" t="s">
        <v>3261</v>
      </c>
      <c r="C47" s="0" t="n">
        <v>200</v>
      </c>
      <c r="D47" s="0" t="s">
        <v>3262</v>
      </c>
      <c r="E47" s="0" t="s">
        <v>3176</v>
      </c>
      <c r="F47" s="0" t="s">
        <v>3227</v>
      </c>
      <c r="G47" s="0" t="s">
        <v>3228</v>
      </c>
      <c r="H47" s="3" t="b">
        <f aca="false">ISNUMBER(MATCH(F47,'globales-sys'!F:F, 0))</f>
        <v>0</v>
      </c>
      <c r="I47" s="1" t="str">
        <f aca="false">IFERROR(INDEX('globales-sys'!G:G, MATCH(F47,'globales-sys'!F:F, 0)), "")</f>
        <v/>
      </c>
      <c r="J47" s="3" t="b">
        <f aca="false">ISNUMBER(MATCH(F47,'globales-baas'!F:F, 0))</f>
        <v>0</v>
      </c>
      <c r="K47" s="1" t="str">
        <f aca="false">IFERROR(INDEX('globales-baas'!G:G, MATCH(F47,'globales-baas'!F:F, 0)), "")</f>
        <v/>
      </c>
      <c r="L47" s="3" t="b">
        <f aca="false">ISNUMBER(MATCH(F47,'globales-bff'!F:F, 0))</f>
        <v>0</v>
      </c>
      <c r="M47" s="1" t="str">
        <f aca="false">IFERROR(INDEX('globales-bff'!G:G, MATCH(F47,'globales-bff'!F:F, 0)), "")</f>
        <v/>
      </c>
    </row>
    <row r="48" customFormat="false" ht="12.8" hidden="false" customHeight="false" outlineLevel="0" collapsed="false">
      <c r="A48" s="0" t="s">
        <v>3055</v>
      </c>
      <c r="B48" s="0" t="s">
        <v>3263</v>
      </c>
      <c r="C48" s="0" t="n">
        <v>200</v>
      </c>
      <c r="D48" s="0" t="s">
        <v>3262</v>
      </c>
      <c r="E48" s="0" t="s">
        <v>3176</v>
      </c>
      <c r="F48" s="0" t="s">
        <v>3264</v>
      </c>
      <c r="G48" s="0" t="s">
        <v>3265</v>
      </c>
      <c r="H48" s="3" t="b">
        <f aca="false">ISNUMBER(MATCH(F48,'globales-sys'!F:F, 0))</f>
        <v>0</v>
      </c>
      <c r="I48" s="1" t="str">
        <f aca="false">IFERROR(INDEX('globales-sys'!G:G, MATCH(F48,'globales-sys'!F:F, 0)), "")</f>
        <v/>
      </c>
      <c r="J48" s="3" t="b">
        <f aca="false">ISNUMBER(MATCH(F48,'globales-baas'!F:F, 0))</f>
        <v>0</v>
      </c>
      <c r="K48" s="1" t="str">
        <f aca="false">IFERROR(INDEX('globales-baas'!G:G, MATCH(F48,'globales-baas'!F:F, 0)), "")</f>
        <v/>
      </c>
      <c r="L48" s="3" t="b">
        <f aca="false">ISNUMBER(MATCH(F48,'globales-bff'!F:F, 0))</f>
        <v>0</v>
      </c>
      <c r="M48" s="1" t="str">
        <f aca="false">IFERROR(INDEX('globales-bff'!G:G, MATCH(F48,'globales-bff'!F:F, 0)), "")</f>
        <v/>
      </c>
    </row>
    <row r="49" customFormat="false" ht="12.8" hidden="false" customHeight="false" outlineLevel="0" collapsed="false">
      <c r="A49" s="0" t="s">
        <v>2069</v>
      </c>
      <c r="B49" s="0" t="s">
        <v>3266</v>
      </c>
      <c r="C49" s="0" t="n">
        <v>200</v>
      </c>
      <c r="D49" s="0" t="s">
        <v>3267</v>
      </c>
      <c r="E49" s="0" t="s">
        <v>3176</v>
      </c>
      <c r="F49" s="0" t="s">
        <v>3268</v>
      </c>
      <c r="G49" s="0" t="s">
        <v>3269</v>
      </c>
      <c r="H49" s="3" t="b">
        <f aca="false">ISNUMBER(MATCH(F49,'globales-sys'!F:F, 0))</f>
        <v>0</v>
      </c>
      <c r="I49" s="1" t="str">
        <f aca="false">IFERROR(INDEX('globales-sys'!G:G, MATCH(F49,'globales-sys'!F:F, 0)), "")</f>
        <v/>
      </c>
      <c r="J49" s="3" t="b">
        <f aca="false">ISNUMBER(MATCH(F49,'globales-baas'!F:F, 0))</f>
        <v>0</v>
      </c>
      <c r="K49" s="1" t="str">
        <f aca="false">IFERROR(INDEX('globales-baas'!G:G, MATCH(F49,'globales-baas'!F:F, 0)), "")</f>
        <v/>
      </c>
      <c r="L49" s="3" t="b">
        <f aca="false">ISNUMBER(MATCH(F49,'globales-bff'!F:F, 0))</f>
        <v>0</v>
      </c>
      <c r="M49" s="1" t="str">
        <f aca="false">IFERROR(INDEX('globales-bff'!G:G, MATCH(F49,'globales-bff'!F:F, 0)), "")</f>
        <v/>
      </c>
    </row>
    <row r="50" customFormat="false" ht="12.8" hidden="false" customHeight="false" outlineLevel="0" collapsed="false">
      <c r="A50" s="0" t="s">
        <v>2013</v>
      </c>
      <c r="B50" s="0" t="s">
        <v>3270</v>
      </c>
      <c r="C50" s="0" t="n">
        <v>200</v>
      </c>
      <c r="D50" s="0" t="s">
        <v>3173</v>
      </c>
      <c r="E50" s="0" t="s">
        <v>3176</v>
      </c>
      <c r="F50" s="0" t="s">
        <v>3227</v>
      </c>
      <c r="G50" s="0" t="s">
        <v>3228</v>
      </c>
      <c r="H50" s="3" t="b">
        <f aca="false">ISNUMBER(MATCH(F50,'globales-sys'!F:F, 0))</f>
        <v>0</v>
      </c>
      <c r="I50" s="1" t="str">
        <f aca="false">IFERROR(INDEX('globales-sys'!G:G, MATCH(F50,'globales-sys'!F:F, 0)), "")</f>
        <v/>
      </c>
      <c r="J50" s="3" t="b">
        <f aca="false">ISNUMBER(MATCH(F50,'globales-baas'!F:F, 0))</f>
        <v>0</v>
      </c>
      <c r="K50" s="1" t="str">
        <f aca="false">IFERROR(INDEX('globales-baas'!G:G, MATCH(F50,'globales-baas'!F:F, 0)), "")</f>
        <v/>
      </c>
      <c r="L50" s="3" t="b">
        <f aca="false">ISNUMBER(MATCH(F50,'globales-bff'!F:F, 0))</f>
        <v>0</v>
      </c>
      <c r="M50" s="1" t="str">
        <f aca="false">IFERROR(INDEX('globales-bff'!G:G, MATCH(F50,'globales-bff'!F:F, 0)), "")</f>
        <v/>
      </c>
    </row>
    <row r="51" customFormat="false" ht="12.8" hidden="false" customHeight="false" outlineLevel="0" collapsed="false">
      <c r="A51" s="0" t="s">
        <v>2013</v>
      </c>
      <c r="B51" s="0" t="s">
        <v>3270</v>
      </c>
      <c r="C51" s="0" t="n">
        <v>200</v>
      </c>
      <c r="D51" s="0" t="s">
        <v>3173</v>
      </c>
      <c r="E51" s="0" t="s">
        <v>3176</v>
      </c>
      <c r="F51" s="0" t="s">
        <v>3212</v>
      </c>
      <c r="G51" s="0" t="s">
        <v>3271</v>
      </c>
      <c r="H51" s="3" t="b">
        <f aca="false">ISNUMBER(MATCH(F51,'globales-sys'!F:F, 0))</f>
        <v>1</v>
      </c>
      <c r="I51" s="1" t="str">
        <f aca="false">IFERROR(INDEX('globales-sys'!G:G, MATCH(F51,'globales-sys'!F:F, 0)), "")</f>
        <v>https://ms-storage-api-pro-ns-inf.${PROVIDER_SUFFIX_URL:apps.pro.aws.bancsabadell.com}/private-document-library-storage/v1</v>
      </c>
      <c r="J51" s="3" t="b">
        <f aca="false">ISNUMBER(MATCH(F51,'globales-baas'!F:F, 0))</f>
        <v>0</v>
      </c>
      <c r="K51" s="1" t="str">
        <f aca="false">IFERROR(INDEX('globales-baas'!G:G, MATCH(F51,'globales-baas'!F:F, 0)), "")</f>
        <v/>
      </c>
      <c r="L51" s="3" t="b">
        <f aca="false">ISNUMBER(MATCH(F51,'globales-bff'!F:F, 0))</f>
        <v>0</v>
      </c>
      <c r="M51" s="1" t="str">
        <f aca="false">IFERROR(INDEX('globales-bff'!G:G, MATCH(F51,'globales-bff'!F:F, 0)), "")</f>
        <v/>
      </c>
    </row>
    <row r="52" customFormat="false" ht="12.8" hidden="false" customHeight="false" outlineLevel="0" collapsed="false">
      <c r="A52" s="0" t="s">
        <v>2013</v>
      </c>
      <c r="B52" s="0" t="s">
        <v>3270</v>
      </c>
      <c r="C52" s="0" t="n">
        <v>200</v>
      </c>
      <c r="D52" s="0" t="s">
        <v>3173</v>
      </c>
      <c r="E52" s="0" t="s">
        <v>3176</v>
      </c>
      <c r="F52" s="0" t="s">
        <v>3272</v>
      </c>
      <c r="G52" s="0" t="s">
        <v>3269</v>
      </c>
      <c r="H52" s="3" t="b">
        <f aca="false">ISNUMBER(MATCH(F52,'globales-sys'!F:F, 0))</f>
        <v>0</v>
      </c>
      <c r="I52" s="1" t="str">
        <f aca="false">IFERROR(INDEX('globales-sys'!G:G, MATCH(F52,'globales-sys'!F:F, 0)), "")</f>
        <v/>
      </c>
      <c r="J52" s="3" t="b">
        <f aca="false">ISNUMBER(MATCH(F52,'globales-baas'!F:F, 0))</f>
        <v>0</v>
      </c>
      <c r="K52" s="1" t="str">
        <f aca="false">IFERROR(INDEX('globales-baas'!G:G, MATCH(F52,'globales-baas'!F:F, 0)), "")</f>
        <v/>
      </c>
      <c r="L52" s="3" t="b">
        <f aca="false">ISNUMBER(MATCH(F52,'globales-bff'!F:F, 0))</f>
        <v>0</v>
      </c>
      <c r="M52" s="1" t="str">
        <f aca="false">IFERROR(INDEX('globales-bff'!G:G, MATCH(F52,'globales-bff'!F:F, 0)), "")</f>
        <v/>
      </c>
    </row>
    <row r="53" customFormat="false" ht="12.8" hidden="false" customHeight="false" outlineLevel="0" collapsed="false">
      <c r="A53" s="0" t="s">
        <v>1826</v>
      </c>
      <c r="B53" s="0" t="s">
        <v>3273</v>
      </c>
      <c r="C53" s="0" t="n">
        <v>200</v>
      </c>
      <c r="D53" s="0" t="s">
        <v>3274</v>
      </c>
      <c r="E53" s="0" t="s">
        <v>3176</v>
      </c>
      <c r="F53" s="0" t="s">
        <v>3275</v>
      </c>
      <c r="G53" s="0" t="s">
        <v>3276</v>
      </c>
      <c r="H53" s="3" t="b">
        <f aca="false">ISNUMBER(MATCH(F53,'globales-sys'!F:F, 0))</f>
        <v>0</v>
      </c>
      <c r="I53" s="1" t="str">
        <f aca="false">IFERROR(INDEX('globales-sys'!G:G, MATCH(F53,'globales-sys'!F:F, 0)), "")</f>
        <v/>
      </c>
      <c r="J53" s="3" t="b">
        <f aca="false">ISNUMBER(MATCH(F53,'globales-baas'!F:F, 0))</f>
        <v>0</v>
      </c>
      <c r="K53" s="1" t="str">
        <f aca="false">IFERROR(INDEX('globales-baas'!G:G, MATCH(F53,'globales-baas'!F:F, 0)), "")</f>
        <v/>
      </c>
      <c r="L53" s="3" t="b">
        <f aca="false">ISNUMBER(MATCH(F53,'globales-bff'!F:F, 0))</f>
        <v>0</v>
      </c>
      <c r="M53" s="1" t="str">
        <f aca="false">IFERROR(INDEX('globales-bff'!G:G, MATCH(F53,'globales-bff'!F:F, 0)), "")</f>
        <v/>
      </c>
    </row>
    <row r="54" customFormat="false" ht="12.8" hidden="false" customHeight="false" outlineLevel="0" collapsed="false">
      <c r="A54" s="0" t="s">
        <v>1582</v>
      </c>
      <c r="B54" s="0" t="s">
        <v>3277</v>
      </c>
      <c r="C54" s="0" t="n">
        <v>200</v>
      </c>
      <c r="D54" s="0" t="s">
        <v>3175</v>
      </c>
      <c r="E54" s="0" t="s">
        <v>3176</v>
      </c>
      <c r="F54" s="0" t="s">
        <v>3275</v>
      </c>
      <c r="G54" s="0" t="s">
        <v>3278</v>
      </c>
      <c r="H54" s="3" t="b">
        <f aca="false">ISNUMBER(MATCH(F54,'globales-sys'!F:F, 0))</f>
        <v>0</v>
      </c>
      <c r="I54" s="1" t="str">
        <f aca="false">IFERROR(INDEX('globales-sys'!G:G, MATCH(F54,'globales-sys'!F:F, 0)), "")</f>
        <v/>
      </c>
      <c r="J54" s="3" t="b">
        <f aca="false">ISNUMBER(MATCH(F54,'globales-baas'!F:F, 0))</f>
        <v>0</v>
      </c>
      <c r="K54" s="1" t="str">
        <f aca="false">IFERROR(INDEX('globales-baas'!G:G, MATCH(F54,'globales-baas'!F:F, 0)), "")</f>
        <v/>
      </c>
      <c r="L54" s="3" t="b">
        <f aca="false">ISNUMBER(MATCH(F54,'globales-bff'!F:F, 0))</f>
        <v>0</v>
      </c>
      <c r="M54" s="1" t="str">
        <f aca="false">IFERROR(INDEX('globales-bff'!G:G, MATCH(F54,'globales-bff'!F:F, 0)), "")</f>
        <v/>
      </c>
    </row>
    <row r="55" customFormat="false" ht="12.8" hidden="false" customHeight="false" outlineLevel="0" collapsed="false">
      <c r="A55" s="0" t="s">
        <v>1258</v>
      </c>
      <c r="B55" s="0" t="s">
        <v>3279</v>
      </c>
      <c r="C55" s="0" t="n">
        <v>404</v>
      </c>
      <c r="D55" s="0" t="s">
        <v>3280</v>
      </c>
      <c r="E55" s="0" t="n">
        <v>404</v>
      </c>
      <c r="H55" s="3" t="b">
        <f aca="false">ISNUMBER(MATCH(F55,'globales-sys'!F:F, 0))</f>
        <v>0</v>
      </c>
      <c r="I55" s="1" t="str">
        <f aca="false">IFERROR(INDEX('globales-sys'!G:G, MATCH(F55,'globales-sys'!F:F, 0)), "")</f>
        <v/>
      </c>
      <c r="J55" s="3" t="b">
        <f aca="false">ISNUMBER(MATCH(F55,'globales-baas'!F:F, 0))</f>
        <v>0</v>
      </c>
      <c r="K55" s="1" t="str">
        <f aca="false">IFERROR(INDEX('globales-baas'!G:G, MATCH(F55,'globales-baas'!F:F, 0)), "")</f>
        <v/>
      </c>
      <c r="L55" s="3" t="b">
        <f aca="false">ISNUMBER(MATCH(F55,'globales-bff'!F:F, 0))</f>
        <v>0</v>
      </c>
      <c r="M55" s="1" t="str">
        <f aca="false">IFERROR(INDEX('globales-bff'!G:G, MATCH(F55,'globales-bff'!F:F, 0)), "")</f>
        <v/>
      </c>
    </row>
    <row r="56" customFormat="false" ht="12.8" hidden="false" customHeight="false" outlineLevel="0" collapsed="false">
      <c r="A56" s="0" t="s">
        <v>193</v>
      </c>
      <c r="B56" s="0" t="s">
        <v>3281</v>
      </c>
      <c r="C56" s="0" t="n">
        <v>404</v>
      </c>
      <c r="D56" s="0" t="s">
        <v>3282</v>
      </c>
      <c r="E56" s="0" t="n">
        <v>404</v>
      </c>
      <c r="H56" s="3" t="b">
        <f aca="false">ISNUMBER(MATCH(F56,'globales-sys'!F:F, 0))</f>
        <v>0</v>
      </c>
      <c r="I56" s="1" t="str">
        <f aca="false">IFERROR(INDEX('globales-sys'!G:G, MATCH(F56,'globales-sys'!F:F, 0)), "")</f>
        <v/>
      </c>
      <c r="J56" s="3" t="b">
        <f aca="false">ISNUMBER(MATCH(F56,'globales-baas'!F:F, 0))</f>
        <v>0</v>
      </c>
      <c r="K56" s="1" t="str">
        <f aca="false">IFERROR(INDEX('globales-baas'!G:G, MATCH(F56,'globales-baas'!F:F, 0)), "")</f>
        <v/>
      </c>
      <c r="L56" s="3" t="b">
        <f aca="false">ISNUMBER(MATCH(F56,'globales-bff'!F:F, 0))</f>
        <v>0</v>
      </c>
      <c r="M56" s="1" t="str">
        <f aca="false">IFERROR(INDEX('globales-bff'!G:G, MATCH(F56,'globales-bff'!F:F, 0)), "")</f>
        <v/>
      </c>
    </row>
    <row r="57" customFormat="false" ht="12.8" hidden="false" customHeight="false" outlineLevel="0" collapsed="false">
      <c r="A57" s="0" t="s">
        <v>431</v>
      </c>
      <c r="B57" s="0" t="s">
        <v>3283</v>
      </c>
      <c r="C57" s="0" t="n">
        <v>404</v>
      </c>
      <c r="D57" s="0" t="s">
        <v>3284</v>
      </c>
      <c r="E57" s="0" t="n">
        <v>404</v>
      </c>
      <c r="H57" s="3" t="b">
        <f aca="false">ISNUMBER(MATCH(F57,'globales-sys'!F:F, 0))</f>
        <v>0</v>
      </c>
      <c r="I57" s="1" t="str">
        <f aca="false">IFERROR(INDEX('globales-sys'!G:G, MATCH(F57,'globales-sys'!F:F, 0)), "")</f>
        <v/>
      </c>
      <c r="J57" s="3" t="b">
        <f aca="false">ISNUMBER(MATCH(F57,'globales-baas'!F:F, 0))</f>
        <v>0</v>
      </c>
      <c r="K57" s="1" t="str">
        <f aca="false">IFERROR(INDEX('globales-baas'!G:G, MATCH(F57,'globales-baas'!F:F, 0)), "")</f>
        <v/>
      </c>
      <c r="L57" s="3" t="b">
        <f aca="false">ISNUMBER(MATCH(F57,'globales-bff'!F:F, 0))</f>
        <v>0</v>
      </c>
      <c r="M57" s="1" t="str">
        <f aca="false">IFERROR(INDEX('globales-bff'!G:G, MATCH(F57,'globales-bff'!F:F, 0)), "")</f>
        <v/>
      </c>
    </row>
    <row r="58" customFormat="false" ht="12.8" hidden="false" customHeight="false" outlineLevel="0" collapsed="false">
      <c r="A58" s="0" t="s">
        <v>281</v>
      </c>
      <c r="B58" s="0" t="s">
        <v>3285</v>
      </c>
      <c r="C58" s="0" t="n">
        <v>404</v>
      </c>
      <c r="D58" s="0" t="s">
        <v>3286</v>
      </c>
      <c r="E58" s="0" t="n">
        <v>404</v>
      </c>
      <c r="H58" s="3" t="b">
        <f aca="false">ISNUMBER(MATCH(F58,'globales-sys'!F:F, 0))</f>
        <v>0</v>
      </c>
      <c r="I58" s="1" t="str">
        <f aca="false">IFERROR(INDEX('globales-sys'!G:G, MATCH(F58,'globales-sys'!F:F, 0)), "")</f>
        <v/>
      </c>
      <c r="J58" s="3" t="b">
        <f aca="false">ISNUMBER(MATCH(F58,'globales-baas'!F:F, 0))</f>
        <v>0</v>
      </c>
      <c r="K58" s="1" t="str">
        <f aca="false">IFERROR(INDEX('globales-baas'!G:G, MATCH(F58,'globales-baas'!F:F, 0)), "")</f>
        <v/>
      </c>
      <c r="L58" s="3" t="b">
        <f aca="false">ISNUMBER(MATCH(F58,'globales-bff'!F:F, 0))</f>
        <v>0</v>
      </c>
      <c r="M58" s="1" t="str">
        <f aca="false">IFERROR(INDEX('globales-bff'!G:G, MATCH(F58,'globales-bff'!F:F, 0)), "")</f>
        <v/>
      </c>
    </row>
    <row r="59" customFormat="false" ht="12.8" hidden="false" customHeight="false" outlineLevel="0" collapsed="false">
      <c r="A59" s="0" t="s">
        <v>417</v>
      </c>
      <c r="B59" s="0" t="s">
        <v>3287</v>
      </c>
      <c r="C59" s="0" t="n">
        <v>404</v>
      </c>
      <c r="D59" s="0" t="s">
        <v>3288</v>
      </c>
      <c r="E59" s="0" t="n">
        <v>404</v>
      </c>
      <c r="H59" s="3" t="b">
        <f aca="false">ISNUMBER(MATCH(F59,'globales-sys'!F:F, 0))</f>
        <v>0</v>
      </c>
      <c r="I59" s="1" t="str">
        <f aca="false">IFERROR(INDEX('globales-sys'!G:G, MATCH(F59,'globales-sys'!F:F, 0)), "")</f>
        <v/>
      </c>
      <c r="J59" s="3" t="b">
        <f aca="false">ISNUMBER(MATCH(F59,'globales-baas'!F:F, 0))</f>
        <v>0</v>
      </c>
      <c r="K59" s="1" t="str">
        <f aca="false">IFERROR(INDEX('globales-baas'!G:G, MATCH(F59,'globales-baas'!F:F, 0)), "")</f>
        <v/>
      </c>
      <c r="L59" s="3" t="b">
        <f aca="false">ISNUMBER(MATCH(F59,'globales-bff'!F:F, 0))</f>
        <v>0</v>
      </c>
      <c r="M59" s="1" t="str">
        <f aca="false">IFERROR(INDEX('globales-bff'!G:G, MATCH(F59,'globales-bff'!F:F, 0)), "")</f>
        <v/>
      </c>
    </row>
    <row r="60" customFormat="false" ht="12.8" hidden="false" customHeight="false" outlineLevel="0" collapsed="false">
      <c r="A60" s="0" t="s">
        <v>371</v>
      </c>
      <c r="B60" s="0" t="s">
        <v>3289</v>
      </c>
      <c r="C60" s="0" t="n">
        <v>404</v>
      </c>
      <c r="D60" s="0" t="s">
        <v>3290</v>
      </c>
      <c r="E60" s="0" t="n">
        <v>404</v>
      </c>
      <c r="H60" s="3" t="b">
        <f aca="false">ISNUMBER(MATCH(F60,'globales-sys'!F:F, 0))</f>
        <v>0</v>
      </c>
      <c r="I60" s="1" t="str">
        <f aca="false">IFERROR(INDEX('globales-sys'!G:G, MATCH(F60,'globales-sys'!F:F, 0)), "")</f>
        <v/>
      </c>
      <c r="J60" s="3" t="b">
        <f aca="false">ISNUMBER(MATCH(F60,'globales-baas'!F:F, 0))</f>
        <v>0</v>
      </c>
      <c r="K60" s="1" t="str">
        <f aca="false">IFERROR(INDEX('globales-baas'!G:G, MATCH(F60,'globales-baas'!F:F, 0)), "")</f>
        <v/>
      </c>
      <c r="L60" s="3" t="b">
        <f aca="false">ISNUMBER(MATCH(F60,'globales-bff'!F:F, 0))</f>
        <v>0</v>
      </c>
      <c r="M60" s="1" t="str">
        <f aca="false">IFERROR(INDEX('globales-bff'!G:G, MATCH(F60,'globales-bff'!F:F, 0)), "")</f>
        <v/>
      </c>
    </row>
    <row r="61" customFormat="false" ht="12.8" hidden="false" customHeight="false" outlineLevel="0" collapsed="false">
      <c r="A61" s="0" t="s">
        <v>314</v>
      </c>
      <c r="B61" s="0" t="s">
        <v>3291</v>
      </c>
      <c r="C61" s="0" t="n">
        <v>404</v>
      </c>
      <c r="D61" s="0" t="s">
        <v>3292</v>
      </c>
      <c r="E61" s="0" t="n">
        <v>404</v>
      </c>
      <c r="H61" s="3" t="b">
        <f aca="false">ISNUMBER(MATCH(F61,'globales-sys'!F:F, 0))</f>
        <v>0</v>
      </c>
      <c r="I61" s="1" t="str">
        <f aca="false">IFERROR(INDEX('globales-sys'!G:G, MATCH(F61,'globales-sys'!F:F, 0)), "")</f>
        <v/>
      </c>
      <c r="J61" s="3" t="b">
        <f aca="false">ISNUMBER(MATCH(F61,'globales-baas'!F:F, 0))</f>
        <v>0</v>
      </c>
      <c r="K61" s="1" t="str">
        <f aca="false">IFERROR(INDEX('globales-baas'!G:G, MATCH(F61,'globales-baas'!F:F, 0)), "")</f>
        <v/>
      </c>
      <c r="L61" s="3" t="b">
        <f aca="false">ISNUMBER(MATCH(F61,'globales-bff'!F:F, 0))</f>
        <v>0</v>
      </c>
      <c r="M61" s="1" t="str">
        <f aca="false">IFERROR(INDEX('globales-bff'!G:G, MATCH(F61,'globales-bff'!F:F, 0)), "")</f>
        <v/>
      </c>
    </row>
    <row r="62" customFormat="false" ht="12.8" hidden="false" customHeight="false" outlineLevel="0" collapsed="false">
      <c r="A62" s="0" t="s">
        <v>111</v>
      </c>
      <c r="B62" s="0" t="s">
        <v>3293</v>
      </c>
      <c r="C62" s="0" t="n">
        <v>404</v>
      </c>
      <c r="D62" s="0" t="s">
        <v>3286</v>
      </c>
      <c r="E62" s="0" t="n">
        <v>404</v>
      </c>
      <c r="H62" s="3" t="b">
        <f aca="false">ISNUMBER(MATCH(F62,'globales-sys'!F:F, 0))</f>
        <v>0</v>
      </c>
      <c r="I62" s="1" t="str">
        <f aca="false">IFERROR(INDEX('globales-sys'!G:G, MATCH(F62,'globales-sys'!F:F, 0)), "")</f>
        <v/>
      </c>
      <c r="J62" s="3" t="b">
        <f aca="false">ISNUMBER(MATCH(F62,'globales-baas'!F:F, 0))</f>
        <v>0</v>
      </c>
      <c r="K62" s="1" t="str">
        <f aca="false">IFERROR(INDEX('globales-baas'!G:G, MATCH(F62,'globales-baas'!F:F, 0)), "")</f>
        <v/>
      </c>
      <c r="L62" s="3" t="b">
        <f aca="false">ISNUMBER(MATCH(F62,'globales-bff'!F:F, 0))</f>
        <v>0</v>
      </c>
      <c r="M62" s="1" t="str">
        <f aca="false">IFERROR(INDEX('globales-bff'!G:G, MATCH(F62,'globales-bff'!F:F, 0)), "")</f>
        <v/>
      </c>
    </row>
    <row r="63" customFormat="false" ht="12.8" hidden="false" customHeight="false" outlineLevel="0" collapsed="false">
      <c r="A63" s="0" t="s">
        <v>402</v>
      </c>
      <c r="B63" s="0" t="s">
        <v>3294</v>
      </c>
      <c r="C63" s="0" t="n">
        <v>404</v>
      </c>
      <c r="D63" s="0" t="s">
        <v>3295</v>
      </c>
      <c r="E63" s="0" t="n">
        <v>404</v>
      </c>
      <c r="H63" s="3" t="b">
        <f aca="false">ISNUMBER(MATCH(F63,'globales-sys'!F:F, 0))</f>
        <v>0</v>
      </c>
      <c r="I63" s="1" t="str">
        <f aca="false">IFERROR(INDEX('globales-sys'!G:G, MATCH(F63,'globales-sys'!F:F, 0)), "")</f>
        <v/>
      </c>
      <c r="J63" s="3" t="b">
        <f aca="false">ISNUMBER(MATCH(F63,'globales-baas'!F:F, 0))</f>
        <v>0</v>
      </c>
      <c r="K63" s="1" t="str">
        <f aca="false">IFERROR(INDEX('globales-baas'!G:G, MATCH(F63,'globales-baas'!F:F, 0)), "")</f>
        <v/>
      </c>
      <c r="L63" s="3" t="b">
        <f aca="false">ISNUMBER(MATCH(F63,'globales-bff'!F:F, 0))</f>
        <v>0</v>
      </c>
      <c r="M63" s="1" t="str">
        <f aca="false">IFERROR(INDEX('globales-bff'!G:G, MATCH(F63,'globales-bff'!F:F, 0)), "")</f>
        <v/>
      </c>
    </row>
    <row r="64" customFormat="false" ht="12.8" hidden="false" customHeight="false" outlineLevel="0" collapsed="false">
      <c r="A64" s="0" t="s">
        <v>143</v>
      </c>
      <c r="B64" s="0" t="s">
        <v>3296</v>
      </c>
      <c r="C64" s="0" t="n">
        <v>404</v>
      </c>
      <c r="D64" s="0" t="s">
        <v>3295</v>
      </c>
      <c r="E64" s="0" t="n">
        <v>404</v>
      </c>
      <c r="H64" s="3" t="b">
        <f aca="false">ISNUMBER(MATCH(F64,'globales-sys'!F:F, 0))</f>
        <v>0</v>
      </c>
      <c r="I64" s="1" t="str">
        <f aca="false">IFERROR(INDEX('globales-sys'!G:G, MATCH(F64,'globales-sys'!F:F, 0)), "")</f>
        <v/>
      </c>
      <c r="J64" s="3" t="b">
        <f aca="false">ISNUMBER(MATCH(F64,'globales-baas'!F:F, 0))</f>
        <v>0</v>
      </c>
      <c r="K64" s="1" t="str">
        <f aca="false">IFERROR(INDEX('globales-baas'!G:G, MATCH(F64,'globales-baas'!F:F, 0)), "")</f>
        <v/>
      </c>
      <c r="L64" s="3" t="b">
        <f aca="false">ISNUMBER(MATCH(F64,'globales-bff'!F:F, 0))</f>
        <v>0</v>
      </c>
      <c r="M64" s="1" t="str">
        <f aca="false">IFERROR(INDEX('globales-bff'!G:G, MATCH(F64,'globales-bff'!F:F, 0)), "")</f>
        <v/>
      </c>
    </row>
    <row r="65" customFormat="false" ht="12.8" hidden="false" customHeight="false" outlineLevel="0" collapsed="false">
      <c r="A65" s="0" t="s">
        <v>503</v>
      </c>
      <c r="B65" s="0" t="s">
        <v>3297</v>
      </c>
      <c r="C65" s="0" t="n">
        <v>404</v>
      </c>
      <c r="D65" s="0" t="s">
        <v>3298</v>
      </c>
      <c r="E65" s="0" t="n">
        <v>404</v>
      </c>
      <c r="H65" s="3" t="b">
        <f aca="false">ISNUMBER(MATCH(F65,'globales-sys'!F:F, 0))</f>
        <v>0</v>
      </c>
      <c r="I65" s="1" t="str">
        <f aca="false">IFERROR(INDEX('globales-sys'!G:G, MATCH(F65,'globales-sys'!F:F, 0)), "")</f>
        <v/>
      </c>
      <c r="J65" s="3" t="b">
        <f aca="false">ISNUMBER(MATCH(F65,'globales-baas'!F:F, 0))</f>
        <v>0</v>
      </c>
      <c r="K65" s="1" t="str">
        <f aca="false">IFERROR(INDEX('globales-baas'!G:G, MATCH(F65,'globales-baas'!F:F, 0)), "")</f>
        <v/>
      </c>
      <c r="L65" s="3" t="b">
        <f aca="false">ISNUMBER(MATCH(F65,'globales-bff'!F:F, 0))</f>
        <v>0</v>
      </c>
      <c r="M65" s="1" t="str">
        <f aca="false">IFERROR(INDEX('globales-bff'!G:G, MATCH(F65,'globales-bff'!F:F, 0)), "")</f>
        <v/>
      </c>
    </row>
    <row r="66" customFormat="false" ht="12.8" hidden="false" customHeight="false" outlineLevel="0" collapsed="false">
      <c r="A66" s="0" t="s">
        <v>2857</v>
      </c>
      <c r="B66" s="0" t="s">
        <v>3299</v>
      </c>
      <c r="C66" s="0" t="n">
        <v>404</v>
      </c>
      <c r="D66" s="0" t="s">
        <v>3300</v>
      </c>
      <c r="E66" s="0" t="n">
        <v>404</v>
      </c>
      <c r="H66" s="3" t="b">
        <f aca="false">ISNUMBER(MATCH(F66,'globales-sys'!F:F, 0))</f>
        <v>0</v>
      </c>
      <c r="I66" s="1" t="str">
        <f aca="false">IFERROR(INDEX('globales-sys'!G:G, MATCH(F66,'globales-sys'!F:F, 0)), "")</f>
        <v/>
      </c>
      <c r="J66" s="3" t="b">
        <f aca="false">ISNUMBER(MATCH(F66,'globales-baas'!F:F, 0))</f>
        <v>0</v>
      </c>
      <c r="K66" s="1" t="str">
        <f aca="false">IFERROR(INDEX('globales-baas'!G:G, MATCH(F66,'globales-baas'!F:F, 0)), "")</f>
        <v/>
      </c>
      <c r="L66" s="3" t="b">
        <f aca="false">ISNUMBER(MATCH(F66,'globales-bff'!F:F, 0))</f>
        <v>0</v>
      </c>
      <c r="M66" s="1" t="str">
        <f aca="false">IFERROR(INDEX('globales-bff'!G:G, MATCH(F66,'globales-bff'!F:F, 0)), "")</f>
        <v/>
      </c>
    </row>
    <row r="67" customFormat="false" ht="12.8" hidden="false" customHeight="false" outlineLevel="0" collapsed="false">
      <c r="A67" s="0" t="s">
        <v>495</v>
      </c>
      <c r="B67" s="0" t="s">
        <v>3301</v>
      </c>
      <c r="C67" s="0" t="n">
        <v>404</v>
      </c>
      <c r="D67" s="0" t="s">
        <v>3302</v>
      </c>
      <c r="E67" s="0" t="n">
        <v>404</v>
      </c>
      <c r="H67" s="3" t="b">
        <f aca="false">ISNUMBER(MATCH(F67,'globales-sys'!F:F, 0))</f>
        <v>0</v>
      </c>
      <c r="I67" s="1" t="str">
        <f aca="false">IFERROR(INDEX('globales-sys'!G:G, MATCH(F67,'globales-sys'!F:F, 0)), "")</f>
        <v/>
      </c>
      <c r="J67" s="3" t="b">
        <f aca="false">ISNUMBER(MATCH(F67,'globales-baas'!F:F, 0))</f>
        <v>0</v>
      </c>
      <c r="K67" s="1" t="str">
        <f aca="false">IFERROR(INDEX('globales-baas'!G:G, MATCH(F67,'globales-baas'!F:F, 0)), "")</f>
        <v/>
      </c>
      <c r="L67" s="3" t="b">
        <f aca="false">ISNUMBER(MATCH(F67,'globales-bff'!F:F, 0))</f>
        <v>0</v>
      </c>
      <c r="M67" s="1" t="str">
        <f aca="false">IFERROR(INDEX('globales-bff'!G:G, MATCH(F67,'globales-bff'!F:F, 0)), "")</f>
        <v/>
      </c>
    </row>
    <row r="68" customFormat="false" ht="12.8" hidden="false" customHeight="false" outlineLevel="0" collapsed="false">
      <c r="A68" s="0" t="s">
        <v>386</v>
      </c>
      <c r="B68" s="0" t="s">
        <v>3303</v>
      </c>
      <c r="C68" s="0" t="n">
        <v>200</v>
      </c>
      <c r="D68" s="0" t="s">
        <v>3304</v>
      </c>
      <c r="E68" s="0" t="s">
        <v>3176</v>
      </c>
      <c r="F68" s="0" t="s">
        <v>3305</v>
      </c>
      <c r="G68" s="0" t="s">
        <v>3306</v>
      </c>
      <c r="H68" s="3" t="b">
        <f aca="false">ISNUMBER(MATCH(F68,'globales-sys'!F:F, 0))</f>
        <v>0</v>
      </c>
      <c r="I68" s="1" t="str">
        <f aca="false">IFERROR(INDEX('globales-sys'!G:G, MATCH(F68,'globales-sys'!F:F, 0)), "")</f>
        <v/>
      </c>
      <c r="J68" s="3" t="b">
        <f aca="false">ISNUMBER(MATCH(F68,'globales-baas'!F:F, 0))</f>
        <v>0</v>
      </c>
      <c r="K68" s="1" t="str">
        <f aca="false">IFERROR(INDEX('globales-baas'!G:G, MATCH(F68,'globales-baas'!F:F, 0)), "")</f>
        <v/>
      </c>
      <c r="L68" s="3" t="b">
        <f aca="false">ISNUMBER(MATCH(F68,'globales-bff'!F:F, 0))</f>
        <v>0</v>
      </c>
      <c r="M68" s="1" t="str">
        <f aca="false">IFERROR(INDEX('globales-bff'!G:G, MATCH(F68,'globales-bff'!F:F, 0)), "")</f>
        <v/>
      </c>
    </row>
    <row r="69" customFormat="false" ht="12.8" hidden="false" customHeight="false" outlineLevel="0" collapsed="false">
      <c r="A69" s="0" t="s">
        <v>386</v>
      </c>
      <c r="B69" s="0" t="s">
        <v>3303</v>
      </c>
      <c r="C69" s="0" t="n">
        <v>200</v>
      </c>
      <c r="D69" s="0" t="s">
        <v>3304</v>
      </c>
      <c r="E69" s="0" t="s">
        <v>3176</v>
      </c>
      <c r="F69" s="0" t="s">
        <v>3307</v>
      </c>
      <c r="G69" s="0" t="s">
        <v>3308</v>
      </c>
      <c r="H69" s="3" t="b">
        <f aca="false">ISNUMBER(MATCH(F69,'globales-sys'!F:F, 0))</f>
        <v>0</v>
      </c>
      <c r="I69" s="1" t="str">
        <f aca="false">IFERROR(INDEX('globales-sys'!G:G, MATCH(F69,'globales-sys'!F:F, 0)), "")</f>
        <v/>
      </c>
      <c r="J69" s="3" t="b">
        <f aca="false">ISNUMBER(MATCH(F69,'globales-baas'!F:F, 0))</f>
        <v>0</v>
      </c>
      <c r="K69" s="1" t="str">
        <f aca="false">IFERROR(INDEX('globales-baas'!G:G, MATCH(F69,'globales-baas'!F:F, 0)), "")</f>
        <v/>
      </c>
      <c r="L69" s="3" t="b">
        <f aca="false">ISNUMBER(MATCH(F69,'globales-bff'!F:F, 0))</f>
        <v>0</v>
      </c>
      <c r="M69" s="1" t="str">
        <f aca="false">IFERROR(INDEX('globales-bff'!G:G, MATCH(F69,'globales-bff'!F:F, 0)), "")</f>
        <v/>
      </c>
    </row>
    <row r="70" customFormat="false" ht="12.8" hidden="false" customHeight="false" outlineLevel="0" collapsed="false">
      <c r="A70" s="0" t="s">
        <v>386</v>
      </c>
      <c r="B70" s="0" t="s">
        <v>3303</v>
      </c>
      <c r="C70" s="0" t="n">
        <v>200</v>
      </c>
      <c r="D70" s="0" t="s">
        <v>3304</v>
      </c>
      <c r="E70" s="0" t="s">
        <v>3176</v>
      </c>
      <c r="F70" s="0" t="s">
        <v>3309</v>
      </c>
      <c r="G70" s="0" t="s">
        <v>3306</v>
      </c>
      <c r="H70" s="3" t="b">
        <f aca="false">ISNUMBER(MATCH(F70,'globales-sys'!F:F, 0))</f>
        <v>0</v>
      </c>
      <c r="I70" s="1" t="str">
        <f aca="false">IFERROR(INDEX('globales-sys'!G:G, MATCH(F70,'globales-sys'!F:F, 0)), "")</f>
        <v/>
      </c>
      <c r="J70" s="3" t="b">
        <f aca="false">ISNUMBER(MATCH(F70,'globales-baas'!F:F, 0))</f>
        <v>0</v>
      </c>
      <c r="K70" s="1" t="str">
        <f aca="false">IFERROR(INDEX('globales-baas'!G:G, MATCH(F70,'globales-baas'!F:F, 0)), "")</f>
        <v/>
      </c>
      <c r="L70" s="3" t="b">
        <f aca="false">ISNUMBER(MATCH(F70,'globales-bff'!F:F, 0))</f>
        <v>0</v>
      </c>
      <c r="M70" s="1" t="str">
        <f aca="false">IFERROR(INDEX('globales-bff'!G:G, MATCH(F70,'globales-bff'!F:F, 0)), "")</f>
        <v/>
      </c>
    </row>
    <row r="71" customFormat="false" ht="12.8" hidden="false" customHeight="false" outlineLevel="0" collapsed="false">
      <c r="A71" s="0" t="s">
        <v>386</v>
      </c>
      <c r="B71" s="0" t="s">
        <v>3303</v>
      </c>
      <c r="C71" s="0" t="n">
        <v>200</v>
      </c>
      <c r="D71" s="0" t="s">
        <v>3304</v>
      </c>
      <c r="E71" s="0" t="s">
        <v>3176</v>
      </c>
      <c r="F71" s="0" t="s">
        <v>3310</v>
      </c>
      <c r="G71" s="0" t="s">
        <v>3306</v>
      </c>
      <c r="H71" s="3" t="b">
        <f aca="false">ISNUMBER(MATCH(F71,'globales-sys'!F:F, 0))</f>
        <v>0</v>
      </c>
      <c r="I71" s="1" t="str">
        <f aca="false">IFERROR(INDEX('globales-sys'!G:G, MATCH(F71,'globales-sys'!F:F, 0)), "")</f>
        <v/>
      </c>
      <c r="J71" s="3" t="b">
        <f aca="false">ISNUMBER(MATCH(F71,'globales-baas'!F:F, 0))</f>
        <v>0</v>
      </c>
      <c r="K71" s="1" t="str">
        <f aca="false">IFERROR(INDEX('globales-baas'!G:G, MATCH(F71,'globales-baas'!F:F, 0)), "")</f>
        <v/>
      </c>
      <c r="L71" s="3" t="b">
        <f aca="false">ISNUMBER(MATCH(F71,'globales-bff'!F:F, 0))</f>
        <v>0</v>
      </c>
      <c r="M71" s="1" t="str">
        <f aca="false">IFERROR(INDEX('globales-bff'!G:G, MATCH(F71,'globales-bff'!F:F, 0)), "")</f>
        <v/>
      </c>
    </row>
    <row r="72" customFormat="false" ht="12.8" hidden="false" customHeight="false" outlineLevel="0" collapsed="false">
      <c r="A72" s="0" t="s">
        <v>386</v>
      </c>
      <c r="B72" s="0" t="s">
        <v>3303</v>
      </c>
      <c r="C72" s="0" t="n">
        <v>200</v>
      </c>
      <c r="D72" s="0" t="s">
        <v>3304</v>
      </c>
      <c r="E72" s="0" t="s">
        <v>3176</v>
      </c>
      <c r="F72" s="0" t="s">
        <v>3311</v>
      </c>
      <c r="G72" s="0" t="s">
        <v>3306</v>
      </c>
      <c r="H72" s="3" t="b">
        <f aca="false">ISNUMBER(MATCH(F72,'globales-sys'!F:F, 0))</f>
        <v>0</v>
      </c>
      <c r="I72" s="1" t="str">
        <f aca="false">IFERROR(INDEX('globales-sys'!G:G, MATCH(F72,'globales-sys'!F:F, 0)), "")</f>
        <v/>
      </c>
      <c r="J72" s="3" t="b">
        <f aca="false">ISNUMBER(MATCH(F72,'globales-baas'!F:F, 0))</f>
        <v>0</v>
      </c>
      <c r="K72" s="1" t="str">
        <f aca="false">IFERROR(INDEX('globales-baas'!G:G, MATCH(F72,'globales-baas'!F:F, 0)), "")</f>
        <v/>
      </c>
      <c r="L72" s="3" t="b">
        <f aca="false">ISNUMBER(MATCH(F72,'globales-bff'!F:F, 0))</f>
        <v>0</v>
      </c>
      <c r="M72" s="1" t="str">
        <f aca="false">IFERROR(INDEX('globales-bff'!G:G, MATCH(F72,'globales-bff'!F:F, 0)), "")</f>
        <v/>
      </c>
    </row>
    <row r="73" customFormat="false" ht="12.8" hidden="false" customHeight="false" outlineLevel="0" collapsed="false">
      <c r="A73" s="0" t="s">
        <v>386</v>
      </c>
      <c r="B73" s="0" t="s">
        <v>3303</v>
      </c>
      <c r="C73" s="0" t="n">
        <v>200</v>
      </c>
      <c r="D73" s="0" t="s">
        <v>3304</v>
      </c>
      <c r="E73" s="0" t="s">
        <v>3176</v>
      </c>
      <c r="F73" s="0" t="s">
        <v>3312</v>
      </c>
      <c r="G73" s="0" t="s">
        <v>3306</v>
      </c>
      <c r="H73" s="3" t="b">
        <f aca="false">ISNUMBER(MATCH(F73,'globales-sys'!F:F, 0))</f>
        <v>0</v>
      </c>
      <c r="I73" s="1" t="str">
        <f aca="false">IFERROR(INDEX('globales-sys'!G:G, MATCH(F73,'globales-sys'!F:F, 0)), "")</f>
        <v/>
      </c>
      <c r="J73" s="3" t="b">
        <f aca="false">ISNUMBER(MATCH(F73,'globales-baas'!F:F, 0))</f>
        <v>0</v>
      </c>
      <c r="K73" s="1" t="str">
        <f aca="false">IFERROR(INDEX('globales-baas'!G:G, MATCH(F73,'globales-baas'!F:F, 0)), "")</f>
        <v/>
      </c>
      <c r="L73" s="3" t="b">
        <f aca="false">ISNUMBER(MATCH(F73,'globales-bff'!F:F, 0))</f>
        <v>0</v>
      </c>
      <c r="M73" s="1" t="str">
        <f aca="false">IFERROR(INDEX('globales-bff'!G:G, MATCH(F73,'globales-bff'!F:F, 0)), "")</f>
        <v/>
      </c>
    </row>
    <row r="74" customFormat="false" ht="12.8" hidden="false" customHeight="false" outlineLevel="0" collapsed="false">
      <c r="A74" s="0" t="s">
        <v>386</v>
      </c>
      <c r="B74" s="0" t="s">
        <v>3303</v>
      </c>
      <c r="C74" s="0" t="n">
        <v>200</v>
      </c>
      <c r="D74" s="0" t="s">
        <v>3304</v>
      </c>
      <c r="E74" s="0" t="s">
        <v>3176</v>
      </c>
      <c r="F74" s="0" t="s">
        <v>3313</v>
      </c>
      <c r="G74" s="0" t="s">
        <v>3306</v>
      </c>
      <c r="H74" s="3" t="b">
        <f aca="false">ISNUMBER(MATCH(F74,'globales-sys'!F:F, 0))</f>
        <v>0</v>
      </c>
      <c r="I74" s="1" t="str">
        <f aca="false">IFERROR(INDEX('globales-sys'!G:G, MATCH(F74,'globales-sys'!F:F, 0)), "")</f>
        <v/>
      </c>
      <c r="J74" s="3" t="b">
        <f aca="false">ISNUMBER(MATCH(F74,'globales-baas'!F:F, 0))</f>
        <v>0</v>
      </c>
      <c r="K74" s="1" t="str">
        <f aca="false">IFERROR(INDEX('globales-baas'!G:G, MATCH(F74,'globales-baas'!F:F, 0)), "")</f>
        <v/>
      </c>
      <c r="L74" s="3" t="b">
        <f aca="false">ISNUMBER(MATCH(F74,'globales-bff'!F:F, 0))</f>
        <v>0</v>
      </c>
      <c r="M74" s="1" t="str">
        <f aca="false">IFERROR(INDEX('globales-bff'!G:G, MATCH(F74,'globales-bff'!F:F, 0)), "")</f>
        <v/>
      </c>
    </row>
    <row r="75" customFormat="false" ht="12.8" hidden="false" customHeight="false" outlineLevel="0" collapsed="false">
      <c r="A75" s="0" t="s">
        <v>619</v>
      </c>
      <c r="B75" s="0" t="s">
        <v>3314</v>
      </c>
      <c r="C75" s="0" t="n">
        <v>404</v>
      </c>
      <c r="D75" s="0" t="s">
        <v>3315</v>
      </c>
      <c r="E75" s="0" t="n">
        <v>404</v>
      </c>
      <c r="H75" s="3" t="b">
        <f aca="false">ISNUMBER(MATCH(F75,'globales-sys'!F:F, 0))</f>
        <v>0</v>
      </c>
      <c r="I75" s="1" t="str">
        <f aca="false">IFERROR(INDEX('globales-sys'!G:G, MATCH(F75,'globales-sys'!F:F, 0)), "")</f>
        <v/>
      </c>
      <c r="J75" s="3" t="b">
        <f aca="false">ISNUMBER(MATCH(F75,'globales-baas'!F:F, 0))</f>
        <v>0</v>
      </c>
      <c r="K75" s="1" t="str">
        <f aca="false">IFERROR(INDEX('globales-baas'!G:G, MATCH(F75,'globales-baas'!F:F, 0)), "")</f>
        <v/>
      </c>
      <c r="L75" s="3" t="b">
        <f aca="false">ISNUMBER(MATCH(F75,'globales-bff'!F:F, 0))</f>
        <v>0</v>
      </c>
      <c r="M75" s="1" t="str">
        <f aca="false">IFERROR(INDEX('globales-bff'!G:G, MATCH(F75,'globales-bff'!F:F, 0)), "")</f>
        <v/>
      </c>
    </row>
    <row r="76" customFormat="false" ht="12.8" hidden="false" customHeight="false" outlineLevel="0" collapsed="false">
      <c r="A76" s="0" t="s">
        <v>1529</v>
      </c>
      <c r="B76" s="0" t="s">
        <v>3316</v>
      </c>
      <c r="C76" s="0" t="n">
        <v>200</v>
      </c>
      <c r="D76" s="0" t="s">
        <v>3317</v>
      </c>
      <c r="E76" s="0" t="s">
        <v>3176</v>
      </c>
      <c r="F76" s="0" t="s">
        <v>3318</v>
      </c>
      <c r="G76" s="0" t="s">
        <v>3319</v>
      </c>
      <c r="H76" s="3" t="b">
        <f aca="false">ISNUMBER(MATCH(F76,'globales-sys'!F:F, 0))</f>
        <v>1</v>
      </c>
      <c r="I76" s="1" t="str">
        <f aca="false">IFERROR(INDEX('globales-sys'!G:G, MATCH(F76,'globales-sys'!F:F, 0)), "")</f>
        <v>https://ms-infra-security-jwt-pro-ns-inf.${PROVIDER_SUFFIX_URL:apps.pro.aws.bancsabadell.com}/jwt/jwk_uri</v>
      </c>
      <c r="J76" s="3" t="b">
        <f aca="false">ISNUMBER(MATCH(F76,'globales-baas'!F:F, 0))</f>
        <v>1</v>
      </c>
      <c r="K76" s="1" t="str">
        <f aca="false">IFERROR(INDEX('globales-baas'!G:G, MATCH(F76,'globales-baas'!F:F, 0)), "")</f>
        <v>https://ms-infra-security-jwt-pro-ns-inf.${PROVIDER_SUFFIX_URL:apps.pro.aws.bancsabadell.com}/jwt/jwk_uri</v>
      </c>
      <c r="L76" s="3" t="b">
        <f aca="false">ISNUMBER(MATCH(F76,'globales-bff'!F:F, 0))</f>
        <v>1</v>
      </c>
      <c r="M76" s="1" t="str">
        <f aca="false">IFERROR(INDEX('globales-bff'!G:G, MATCH(F76,'globales-bff'!F:F, 0)), "")</f>
        <v>https://ms-infra-security-jwt-pro-ns-inf.${PROVIDER_SUFFIX_URL:apps.pro.aws.bancsabadell.com}/jwt/jwk_uri</v>
      </c>
    </row>
    <row r="77" customFormat="false" ht="12.8" hidden="false" customHeight="false" outlineLevel="0" collapsed="false">
      <c r="A77" s="0" t="s">
        <v>1529</v>
      </c>
      <c r="B77" s="0" t="s">
        <v>3316</v>
      </c>
      <c r="C77" s="0" t="n">
        <v>200</v>
      </c>
      <c r="D77" s="0" t="s">
        <v>3317</v>
      </c>
      <c r="E77" s="0" t="s">
        <v>3176</v>
      </c>
      <c r="F77" s="0" t="s">
        <v>3196</v>
      </c>
      <c r="G77" s="0" t="s">
        <v>3197</v>
      </c>
      <c r="H77" s="3" t="b">
        <f aca="false">ISNUMBER(MATCH(F77,'globales-sys'!F:F, 0))</f>
        <v>0</v>
      </c>
      <c r="I77" s="1" t="str">
        <f aca="false">IFERROR(INDEX('globales-sys'!G:G, MATCH(F77,'globales-sys'!F:F, 0)), "")</f>
        <v/>
      </c>
      <c r="J77" s="3" t="b">
        <f aca="false">ISNUMBER(MATCH(F77,'globales-baas'!F:F, 0))</f>
        <v>0</v>
      </c>
      <c r="K77" s="1" t="str">
        <f aca="false">IFERROR(INDEX('globales-baas'!G:G, MATCH(F77,'globales-baas'!F:F, 0)), "")</f>
        <v/>
      </c>
      <c r="L77" s="3" t="b">
        <f aca="false">ISNUMBER(MATCH(F77,'globales-bff'!F:F, 0))</f>
        <v>0</v>
      </c>
      <c r="M77" s="1" t="str">
        <f aca="false">IFERROR(INDEX('globales-bff'!G:G, MATCH(F77,'globales-bff'!F:F, 0)), "")</f>
        <v/>
      </c>
    </row>
    <row r="78" customFormat="false" ht="12.8" hidden="false" customHeight="false" outlineLevel="0" collapsed="false">
      <c r="A78" s="0" t="s">
        <v>1529</v>
      </c>
      <c r="B78" s="0" t="s">
        <v>3316</v>
      </c>
      <c r="C78" s="0" t="n">
        <v>200</v>
      </c>
      <c r="D78" s="0" t="s">
        <v>3317</v>
      </c>
      <c r="E78" s="0" t="s">
        <v>3176</v>
      </c>
      <c r="F78" s="0" t="s">
        <v>3198</v>
      </c>
      <c r="G78" s="0" t="s">
        <v>3199</v>
      </c>
      <c r="H78" s="3" t="b">
        <f aca="false">ISNUMBER(MATCH(F78,'globales-sys'!F:F, 0))</f>
        <v>1</v>
      </c>
      <c r="I78" s="1" t="str">
        <f aca="false">IFERROR(INDEX('globales-sys'!G:G, MATCH(F78,'globales-sys'!F:F, 0)), "")</f>
        <v>https://ms-infra-mainframe-adapter-pro-ns-inf.${PROVIDER_SUFFIX_URL:apps.pro.aws.bancsabadell.com}</v>
      </c>
      <c r="J78" s="3" t="b">
        <f aca="false">ISNUMBER(MATCH(F78,'globales-baas'!F:F, 0))</f>
        <v>0</v>
      </c>
      <c r="K78" s="1" t="str">
        <f aca="false">IFERROR(INDEX('globales-baas'!G:G, MATCH(F78,'globales-baas'!F:F, 0)), "")</f>
        <v/>
      </c>
      <c r="L78" s="3" t="b">
        <f aca="false">ISNUMBER(MATCH(F78,'globales-bff'!F:F, 0))</f>
        <v>0</v>
      </c>
      <c r="M78" s="1" t="str">
        <f aca="false">IFERROR(INDEX('globales-bff'!G:G, MATCH(F78,'globales-bff'!F:F, 0)), "")</f>
        <v/>
      </c>
    </row>
    <row r="79" customFormat="false" ht="12.8" hidden="false" customHeight="false" outlineLevel="0" collapsed="false">
      <c r="A79" s="0" t="s">
        <v>1529</v>
      </c>
      <c r="B79" s="0" t="s">
        <v>3316</v>
      </c>
      <c r="C79" s="0" t="n">
        <v>200</v>
      </c>
      <c r="D79" s="0" t="s">
        <v>3317</v>
      </c>
      <c r="E79" s="0" t="s">
        <v>3176</v>
      </c>
      <c r="F79" s="0" t="s">
        <v>3320</v>
      </c>
      <c r="G79" s="0" t="s">
        <v>3321</v>
      </c>
      <c r="H79" s="3" t="b">
        <f aca="false">ISNUMBER(MATCH(F79,'globales-sys'!F:F, 0))</f>
        <v>0</v>
      </c>
      <c r="I79" s="1" t="str">
        <f aca="false">IFERROR(INDEX('globales-sys'!G:G, MATCH(F79,'globales-sys'!F:F, 0)), "")</f>
        <v/>
      </c>
      <c r="J79" s="3" t="b">
        <f aca="false">ISNUMBER(MATCH(F79,'globales-baas'!F:F, 0))</f>
        <v>0</v>
      </c>
      <c r="K79" s="1" t="str">
        <f aca="false">IFERROR(INDEX('globales-baas'!G:G, MATCH(F79,'globales-baas'!F:F, 0)), "")</f>
        <v/>
      </c>
      <c r="L79" s="3" t="b">
        <f aca="false">ISNUMBER(MATCH(F79,'globales-bff'!F:F, 0))</f>
        <v>0</v>
      </c>
      <c r="M79" s="1" t="str">
        <f aca="false">IFERROR(INDEX('globales-bff'!G:G, MATCH(F79,'globales-bff'!F:F, 0)), "")</f>
        <v/>
      </c>
    </row>
    <row r="80" customFormat="false" ht="12.8" hidden="false" customHeight="false" outlineLevel="0" collapsed="false">
      <c r="A80" s="0" t="s">
        <v>1602</v>
      </c>
      <c r="B80" s="0" t="s">
        <v>3322</v>
      </c>
      <c r="C80" s="0" t="n">
        <v>200</v>
      </c>
      <c r="D80" s="0" t="s">
        <v>3204</v>
      </c>
      <c r="E80" s="0" t="s">
        <v>3176</v>
      </c>
      <c r="F80" s="0" t="s">
        <v>3323</v>
      </c>
      <c r="G80" s="0" t="s">
        <v>3324</v>
      </c>
      <c r="H80" s="3" t="b">
        <f aca="false">ISNUMBER(MATCH(F80,'globales-sys'!F:F, 0))</f>
        <v>0</v>
      </c>
      <c r="I80" s="1" t="str">
        <f aca="false">IFERROR(INDEX('globales-sys'!G:G, MATCH(F80,'globales-sys'!F:F, 0)), "")</f>
        <v/>
      </c>
      <c r="J80" s="3" t="b">
        <f aca="false">ISNUMBER(MATCH(F80,'globales-baas'!F:F, 0))</f>
        <v>0</v>
      </c>
      <c r="K80" s="1" t="str">
        <f aca="false">IFERROR(INDEX('globales-baas'!G:G, MATCH(F80,'globales-baas'!F:F, 0)), "")</f>
        <v/>
      </c>
      <c r="L80" s="3" t="b">
        <f aca="false">ISNUMBER(MATCH(F80,'globales-bff'!F:F, 0))</f>
        <v>0</v>
      </c>
      <c r="M80" s="1" t="str">
        <f aca="false">IFERROR(INDEX('globales-bff'!G:G, MATCH(F80,'globales-bff'!F:F, 0)), "")</f>
        <v/>
      </c>
    </row>
    <row r="81" customFormat="false" ht="12.8" hidden="false" customHeight="false" outlineLevel="0" collapsed="false">
      <c r="A81" s="0" t="s">
        <v>1287</v>
      </c>
      <c r="B81" s="0" t="s">
        <v>3325</v>
      </c>
      <c r="C81" s="0" t="n">
        <v>200</v>
      </c>
      <c r="D81" s="0" t="s">
        <v>3173</v>
      </c>
      <c r="E81" s="0" t="s">
        <v>3176</v>
      </c>
      <c r="F81" s="0" t="s">
        <v>3326</v>
      </c>
      <c r="G81" s="0" t="s">
        <v>3254</v>
      </c>
      <c r="H81" s="3" t="b">
        <f aca="false">ISNUMBER(MATCH(F81,'globales-sys'!F:F, 0))</f>
        <v>1</v>
      </c>
      <c r="I81" s="1" t="str">
        <f aca="false">IFERROR(INDEX('globales-sys'!G:G, MATCH(F81,'globales-sys'!F:F, 0)), "")</f>
        <v>https://pro-openam-elb.pro.p4es.aws.bancsabadell.com:8443/o</v>
      </c>
      <c r="J81" s="3" t="b">
        <f aca="false">ISNUMBER(MATCH(F81,'globales-baas'!F:F, 0))</f>
        <v>1</v>
      </c>
      <c r="K81" s="1" t="str">
        <f aca="false">IFERROR(INDEX('globales-baas'!G:G, MATCH(F81,'globales-baas'!F:F, 0)), "")</f>
        <v>https://pro-openam-elb.pro.p4es.aws.bancsabadell.com:8443/o</v>
      </c>
      <c r="L81" s="3" t="b">
        <f aca="false">ISNUMBER(MATCH(F81,'globales-bff'!F:F, 0))</f>
        <v>0</v>
      </c>
      <c r="M81" s="1" t="str">
        <f aca="false">IFERROR(INDEX('globales-bff'!G:G, MATCH(F81,'globales-bff'!F:F, 0)), "")</f>
        <v/>
      </c>
    </row>
    <row r="82" customFormat="false" ht="12.8" hidden="false" customHeight="false" outlineLevel="0" collapsed="false">
      <c r="A82" s="0" t="s">
        <v>1287</v>
      </c>
      <c r="B82" s="0" t="s">
        <v>3325</v>
      </c>
      <c r="C82" s="0" t="n">
        <v>200</v>
      </c>
      <c r="D82" s="0" t="s">
        <v>3173</v>
      </c>
      <c r="E82" s="0" t="s">
        <v>3176</v>
      </c>
      <c r="F82" s="0" t="s">
        <v>3327</v>
      </c>
      <c r="G82" s="0" t="s">
        <v>3228</v>
      </c>
      <c r="H82" s="3" t="b">
        <f aca="false">ISNUMBER(MATCH(F82,'globales-sys'!F:F, 0))</f>
        <v>0</v>
      </c>
      <c r="I82" s="1" t="str">
        <f aca="false">IFERROR(INDEX('globales-sys'!G:G, MATCH(F82,'globales-sys'!F:F, 0)), "")</f>
        <v/>
      </c>
      <c r="J82" s="3" t="b">
        <f aca="false">ISNUMBER(MATCH(F82,'globales-baas'!F:F, 0))</f>
        <v>0</v>
      </c>
      <c r="K82" s="1" t="str">
        <f aca="false">IFERROR(INDEX('globales-baas'!G:G, MATCH(F82,'globales-baas'!F:F, 0)), "")</f>
        <v/>
      </c>
      <c r="L82" s="3" t="b">
        <f aca="false">ISNUMBER(MATCH(F82,'globales-bff'!F:F, 0))</f>
        <v>0</v>
      </c>
      <c r="M82" s="1" t="str">
        <f aca="false">IFERROR(INDEX('globales-bff'!G:G, MATCH(F82,'globales-bff'!F:F, 0)), "")</f>
        <v/>
      </c>
    </row>
    <row r="83" customFormat="false" ht="12.8" hidden="false" customHeight="false" outlineLevel="0" collapsed="false">
      <c r="A83" s="0" t="s">
        <v>1287</v>
      </c>
      <c r="B83" s="0" t="s">
        <v>3325</v>
      </c>
      <c r="C83" s="0" t="n">
        <v>200</v>
      </c>
      <c r="D83" s="0" t="s">
        <v>3173</v>
      </c>
      <c r="E83" s="0" t="s">
        <v>3176</v>
      </c>
      <c r="F83" s="0" t="s">
        <v>3328</v>
      </c>
      <c r="G83" s="0" t="s">
        <v>3271</v>
      </c>
      <c r="H83" s="3" t="b">
        <f aca="false">ISNUMBER(MATCH(F83,'globales-sys'!F:F, 0))</f>
        <v>0</v>
      </c>
      <c r="I83" s="1" t="str">
        <f aca="false">IFERROR(INDEX('globales-sys'!G:G, MATCH(F83,'globales-sys'!F:F, 0)), "")</f>
        <v/>
      </c>
      <c r="J83" s="3" t="b">
        <f aca="false">ISNUMBER(MATCH(F83,'globales-baas'!F:F, 0))</f>
        <v>0</v>
      </c>
      <c r="K83" s="1" t="str">
        <f aca="false">IFERROR(INDEX('globales-baas'!G:G, MATCH(F83,'globales-baas'!F:F, 0)), "")</f>
        <v/>
      </c>
      <c r="L83" s="3" t="b">
        <f aca="false">ISNUMBER(MATCH(F83,'globales-bff'!F:F, 0))</f>
        <v>0</v>
      </c>
      <c r="M83" s="1" t="str">
        <f aca="false">IFERROR(INDEX('globales-bff'!G:G, MATCH(F83,'globales-bff'!F:F, 0)), "")</f>
        <v/>
      </c>
    </row>
    <row r="84" customFormat="false" ht="12.8" hidden="false" customHeight="false" outlineLevel="0" collapsed="false">
      <c r="A84" s="0" t="s">
        <v>2785</v>
      </c>
      <c r="B84" s="0" t="s">
        <v>3329</v>
      </c>
      <c r="C84" s="0" t="n">
        <v>404</v>
      </c>
      <c r="D84" s="0" t="s">
        <v>3256</v>
      </c>
      <c r="E84" s="0" t="n">
        <v>404</v>
      </c>
      <c r="H84" s="3" t="b">
        <f aca="false">ISNUMBER(MATCH(F84,'globales-sys'!F:F, 0))</f>
        <v>0</v>
      </c>
      <c r="I84" s="1" t="str">
        <f aca="false">IFERROR(INDEX('globales-sys'!G:G, MATCH(F84,'globales-sys'!F:F, 0)), "")</f>
        <v/>
      </c>
      <c r="J84" s="3" t="b">
        <f aca="false">ISNUMBER(MATCH(F84,'globales-baas'!F:F, 0))</f>
        <v>0</v>
      </c>
      <c r="K84" s="1" t="str">
        <f aca="false">IFERROR(INDEX('globales-baas'!G:G, MATCH(F84,'globales-baas'!F:F, 0)), "")</f>
        <v/>
      </c>
      <c r="L84" s="3" t="b">
        <f aca="false">ISNUMBER(MATCH(F84,'globales-bff'!F:F, 0))</f>
        <v>0</v>
      </c>
      <c r="M84" s="1" t="str">
        <f aca="false">IFERROR(INDEX('globales-bff'!G:G, MATCH(F84,'globales-bff'!F:F, 0)), "")</f>
        <v/>
      </c>
    </row>
    <row r="85" customFormat="false" ht="12.8" hidden="false" customHeight="false" outlineLevel="0" collapsed="false">
      <c r="A85" s="0" t="s">
        <v>2656</v>
      </c>
      <c r="B85" s="0" t="s">
        <v>3330</v>
      </c>
      <c r="C85" s="0" t="n">
        <v>404</v>
      </c>
      <c r="D85" s="0" t="s">
        <v>3219</v>
      </c>
      <c r="E85" s="0" t="n">
        <v>404</v>
      </c>
      <c r="H85" s="3" t="b">
        <f aca="false">ISNUMBER(MATCH(F85,'globales-sys'!F:F, 0))</f>
        <v>0</v>
      </c>
      <c r="I85" s="1" t="str">
        <f aca="false">IFERROR(INDEX('globales-sys'!G:G, MATCH(F85,'globales-sys'!F:F, 0)), "")</f>
        <v/>
      </c>
      <c r="J85" s="3" t="b">
        <f aca="false">ISNUMBER(MATCH(F85,'globales-baas'!F:F, 0))</f>
        <v>0</v>
      </c>
      <c r="K85" s="1" t="str">
        <f aca="false">IFERROR(INDEX('globales-baas'!G:G, MATCH(F85,'globales-baas'!F:F, 0)), "")</f>
        <v/>
      </c>
      <c r="L85" s="3" t="b">
        <f aca="false">ISNUMBER(MATCH(F85,'globales-bff'!F:F, 0))</f>
        <v>0</v>
      </c>
      <c r="M85" s="1" t="str">
        <f aca="false">IFERROR(INDEX('globales-bff'!G:G, MATCH(F85,'globales-bff'!F:F, 0)), "")</f>
        <v/>
      </c>
    </row>
    <row r="86" customFormat="false" ht="12.8" hidden="false" customHeight="false" outlineLevel="0" collapsed="false">
      <c r="A86" s="0" t="s">
        <v>2513</v>
      </c>
      <c r="B86" s="0" t="s">
        <v>3331</v>
      </c>
      <c r="C86" s="0" t="n">
        <v>404</v>
      </c>
      <c r="D86" s="0" t="s">
        <v>3219</v>
      </c>
      <c r="E86" s="0" t="n">
        <v>404</v>
      </c>
      <c r="H86" s="3" t="b">
        <f aca="false">ISNUMBER(MATCH(F86,'globales-sys'!F:F, 0))</f>
        <v>0</v>
      </c>
      <c r="I86" s="1" t="str">
        <f aca="false">IFERROR(INDEX('globales-sys'!G:G, MATCH(F86,'globales-sys'!F:F, 0)), "")</f>
        <v/>
      </c>
      <c r="J86" s="3" t="b">
        <f aca="false">ISNUMBER(MATCH(F86,'globales-baas'!F:F, 0))</f>
        <v>0</v>
      </c>
      <c r="K86" s="1" t="str">
        <f aca="false">IFERROR(INDEX('globales-baas'!G:G, MATCH(F86,'globales-baas'!F:F, 0)), "")</f>
        <v/>
      </c>
      <c r="L86" s="3" t="b">
        <f aca="false">ISNUMBER(MATCH(F86,'globales-bff'!F:F, 0))</f>
        <v>0</v>
      </c>
      <c r="M86" s="1" t="str">
        <f aca="false">IFERROR(INDEX('globales-bff'!G:G, MATCH(F86,'globales-bff'!F:F, 0)), "")</f>
        <v/>
      </c>
    </row>
    <row r="87" customFormat="false" ht="12.8" hidden="false" customHeight="false" outlineLevel="0" collapsed="false">
      <c r="A87" s="0" t="s">
        <v>2303</v>
      </c>
      <c r="B87" s="0" t="s">
        <v>3332</v>
      </c>
      <c r="C87" s="0" t="n">
        <v>200</v>
      </c>
      <c r="D87" s="0" t="s">
        <v>3333</v>
      </c>
      <c r="E87" s="0" t="s">
        <v>3176</v>
      </c>
      <c r="F87" s="0" t="s">
        <v>3334</v>
      </c>
      <c r="G87" s="0" t="s">
        <v>3335</v>
      </c>
      <c r="H87" s="3" t="b">
        <f aca="false">ISNUMBER(MATCH(F87,'globales-sys'!F:F, 0))</f>
        <v>0</v>
      </c>
      <c r="I87" s="1" t="str">
        <f aca="false">IFERROR(INDEX('globales-sys'!G:G, MATCH(F87,'globales-sys'!F:F, 0)), "")</f>
        <v/>
      </c>
      <c r="J87" s="3" t="b">
        <f aca="false">ISNUMBER(MATCH(F87,'globales-baas'!F:F, 0))</f>
        <v>0</v>
      </c>
      <c r="K87" s="1" t="str">
        <f aca="false">IFERROR(INDEX('globales-baas'!G:G, MATCH(F87,'globales-baas'!F:F, 0)), "")</f>
        <v/>
      </c>
      <c r="L87" s="3" t="b">
        <f aca="false">ISNUMBER(MATCH(F87,'globales-bff'!F:F, 0))</f>
        <v>0</v>
      </c>
      <c r="M87" s="1" t="str">
        <f aca="false">IFERROR(INDEX('globales-bff'!G:G, MATCH(F87,'globales-bff'!F:F, 0)), "")</f>
        <v/>
      </c>
    </row>
    <row r="88" customFormat="false" ht="12.8" hidden="false" customHeight="false" outlineLevel="0" collapsed="false">
      <c r="A88" s="0" t="s">
        <v>2891</v>
      </c>
      <c r="B88" s="0" t="s">
        <v>3336</v>
      </c>
      <c r="C88" s="0" t="n">
        <v>200</v>
      </c>
      <c r="D88" s="0" t="s">
        <v>3337</v>
      </c>
      <c r="E88" s="0" t="s">
        <v>3176</v>
      </c>
      <c r="F88" s="0" t="s">
        <v>3338</v>
      </c>
      <c r="G88" s="0" t="s">
        <v>3339</v>
      </c>
      <c r="H88" s="3" t="b">
        <f aca="false">ISNUMBER(MATCH(F88,'globales-sys'!F:F, 0))</f>
        <v>0</v>
      </c>
      <c r="I88" s="1" t="str">
        <f aca="false">IFERROR(INDEX('globales-sys'!G:G, MATCH(F88,'globales-sys'!F:F, 0)), "")</f>
        <v/>
      </c>
      <c r="J88" s="3" t="b">
        <f aca="false">ISNUMBER(MATCH(F88,'globales-baas'!F:F, 0))</f>
        <v>0</v>
      </c>
      <c r="K88" s="1" t="str">
        <f aca="false">IFERROR(INDEX('globales-baas'!G:G, MATCH(F88,'globales-baas'!F:F, 0)), "")</f>
        <v/>
      </c>
      <c r="L88" s="3" t="b">
        <f aca="false">ISNUMBER(MATCH(F88,'globales-bff'!F:F, 0))</f>
        <v>0</v>
      </c>
      <c r="M88" s="1" t="str">
        <f aca="false">IFERROR(INDEX('globales-bff'!G:G, MATCH(F88,'globales-bff'!F:F, 0)), "")</f>
        <v/>
      </c>
    </row>
    <row r="89" customFormat="false" ht="12.8" hidden="false" customHeight="false" outlineLevel="0" collapsed="false">
      <c r="A89" s="0" t="s">
        <v>2891</v>
      </c>
      <c r="B89" s="0" t="s">
        <v>3336</v>
      </c>
      <c r="C89" s="0" t="n">
        <v>200</v>
      </c>
      <c r="D89" s="0" t="s">
        <v>3337</v>
      </c>
      <c r="E89" s="0" t="s">
        <v>3176</v>
      </c>
      <c r="F89" s="0" t="s">
        <v>3318</v>
      </c>
      <c r="G89" s="0" t="s">
        <v>3319</v>
      </c>
      <c r="H89" s="3" t="b">
        <f aca="false">ISNUMBER(MATCH(F89,'globales-sys'!F:F, 0))</f>
        <v>1</v>
      </c>
      <c r="I89" s="1" t="str">
        <f aca="false">IFERROR(INDEX('globales-sys'!G:G, MATCH(F89,'globales-sys'!F:F, 0)), "")</f>
        <v>https://ms-infra-security-jwt-pro-ns-inf.${PROVIDER_SUFFIX_URL:apps.pro.aws.bancsabadell.com}/jwt/jwk_uri</v>
      </c>
      <c r="J89" s="3" t="b">
        <f aca="false">ISNUMBER(MATCH(F89,'globales-baas'!F:F, 0))</f>
        <v>1</v>
      </c>
      <c r="K89" s="1" t="str">
        <f aca="false">IFERROR(INDEX('globales-baas'!G:G, MATCH(F89,'globales-baas'!F:F, 0)), "")</f>
        <v>https://ms-infra-security-jwt-pro-ns-inf.${PROVIDER_SUFFIX_URL:apps.pro.aws.bancsabadell.com}/jwt/jwk_uri</v>
      </c>
      <c r="L89" s="3" t="b">
        <f aca="false">ISNUMBER(MATCH(F89,'globales-bff'!F:F, 0))</f>
        <v>1</v>
      </c>
      <c r="M89" s="1" t="str">
        <f aca="false">IFERROR(INDEX('globales-bff'!G:G, MATCH(F89,'globales-bff'!F:F, 0)), "")</f>
        <v>https://ms-infra-security-jwt-pro-ns-inf.${PROVIDER_SUFFIX_URL:apps.pro.aws.bancsabadell.com}/jwt/jwk_uri</v>
      </c>
    </row>
    <row r="90" customFormat="false" ht="12.8" hidden="false" customHeight="false" outlineLevel="0" collapsed="false">
      <c r="A90" s="0" t="s">
        <v>2891</v>
      </c>
      <c r="B90" s="0" t="s">
        <v>3336</v>
      </c>
      <c r="C90" s="0" t="n">
        <v>200</v>
      </c>
      <c r="D90" s="0" t="s">
        <v>3337</v>
      </c>
      <c r="E90" s="0" t="s">
        <v>3176</v>
      </c>
      <c r="F90" s="0" t="s">
        <v>3177</v>
      </c>
      <c r="G90" s="0" t="s">
        <v>3340</v>
      </c>
      <c r="H90" s="3" t="b">
        <f aca="false">ISNUMBER(MATCH(F90,'globales-sys'!F:F, 0))</f>
        <v>0</v>
      </c>
      <c r="I90" s="1" t="str">
        <f aca="false">IFERROR(INDEX('globales-sys'!G:G, MATCH(F90,'globales-sys'!F:F, 0)), "")</f>
        <v/>
      </c>
      <c r="J90" s="3" t="b">
        <f aca="false">ISNUMBER(MATCH(F90,'globales-baas'!F:F, 0))</f>
        <v>0</v>
      </c>
      <c r="K90" s="1" t="str">
        <f aca="false">IFERROR(INDEX('globales-baas'!G:G, MATCH(F90,'globales-baas'!F:F, 0)), "")</f>
        <v/>
      </c>
      <c r="L90" s="3" t="b">
        <f aca="false">ISNUMBER(MATCH(F90,'globales-bff'!F:F, 0))</f>
        <v>0</v>
      </c>
      <c r="M90" s="1" t="str">
        <f aca="false">IFERROR(INDEX('globales-bff'!G:G, MATCH(F90,'globales-bff'!F:F, 0)), "")</f>
        <v/>
      </c>
    </row>
    <row r="91" customFormat="false" ht="12.8" hidden="false" customHeight="false" outlineLevel="0" collapsed="false">
      <c r="A91" s="0" t="s">
        <v>2891</v>
      </c>
      <c r="B91" s="0" t="s">
        <v>3336</v>
      </c>
      <c r="C91" s="0" t="n">
        <v>200</v>
      </c>
      <c r="D91" s="0" t="s">
        <v>3337</v>
      </c>
      <c r="E91" s="0" t="s">
        <v>3176</v>
      </c>
      <c r="F91" s="0" t="s">
        <v>3179</v>
      </c>
      <c r="G91" s="0" t="s">
        <v>3341</v>
      </c>
      <c r="H91" s="3" t="b">
        <f aca="false">ISNUMBER(MATCH(F91,'globales-sys'!F:F, 0))</f>
        <v>0</v>
      </c>
      <c r="I91" s="1" t="str">
        <f aca="false">IFERROR(INDEX('globales-sys'!G:G, MATCH(F91,'globales-sys'!F:F, 0)), "")</f>
        <v/>
      </c>
      <c r="J91" s="3" t="b">
        <f aca="false">ISNUMBER(MATCH(F91,'globales-baas'!F:F, 0))</f>
        <v>0</v>
      </c>
      <c r="K91" s="1" t="str">
        <f aca="false">IFERROR(INDEX('globales-baas'!G:G, MATCH(F91,'globales-baas'!F:F, 0)), "")</f>
        <v/>
      </c>
      <c r="L91" s="3" t="b">
        <f aca="false">ISNUMBER(MATCH(F91,'globales-bff'!F:F, 0))</f>
        <v>0</v>
      </c>
      <c r="M91" s="1" t="str">
        <f aca="false">IFERROR(INDEX('globales-bff'!G:G, MATCH(F91,'globales-bff'!F:F, 0)), "")</f>
        <v/>
      </c>
    </row>
    <row r="92" customFormat="false" ht="12.8" hidden="false" customHeight="false" outlineLevel="0" collapsed="false">
      <c r="A92" s="0" t="s">
        <v>2891</v>
      </c>
      <c r="B92" s="0" t="s">
        <v>3336</v>
      </c>
      <c r="C92" s="0" t="n">
        <v>200</v>
      </c>
      <c r="D92" s="0" t="s">
        <v>3337</v>
      </c>
      <c r="E92" s="0" t="s">
        <v>3176</v>
      </c>
      <c r="F92" s="0" t="s">
        <v>3181</v>
      </c>
      <c r="G92" s="0" t="s">
        <v>3342</v>
      </c>
      <c r="H92" s="3" t="b">
        <f aca="false">ISNUMBER(MATCH(F92,'globales-sys'!F:F, 0))</f>
        <v>0</v>
      </c>
      <c r="I92" s="1" t="str">
        <f aca="false">IFERROR(INDEX('globales-sys'!G:G, MATCH(F92,'globales-sys'!F:F, 0)), "")</f>
        <v/>
      </c>
      <c r="J92" s="3" t="b">
        <f aca="false">ISNUMBER(MATCH(F92,'globales-baas'!F:F, 0))</f>
        <v>0</v>
      </c>
      <c r="K92" s="1" t="str">
        <f aca="false">IFERROR(INDEX('globales-baas'!G:G, MATCH(F92,'globales-baas'!F:F, 0)), "")</f>
        <v/>
      </c>
      <c r="L92" s="3" t="b">
        <f aca="false">ISNUMBER(MATCH(F92,'globales-bff'!F:F, 0))</f>
        <v>0</v>
      </c>
      <c r="M92" s="1" t="str">
        <f aca="false">IFERROR(INDEX('globales-bff'!G:G, MATCH(F92,'globales-bff'!F:F, 0)), "")</f>
        <v/>
      </c>
    </row>
    <row r="93" customFormat="false" ht="12.8" hidden="false" customHeight="false" outlineLevel="0" collapsed="false">
      <c r="A93" s="0" t="s">
        <v>2891</v>
      </c>
      <c r="B93" s="0" t="s">
        <v>3336</v>
      </c>
      <c r="C93" s="0" t="n">
        <v>200</v>
      </c>
      <c r="D93" s="0" t="s">
        <v>3337</v>
      </c>
      <c r="E93" s="0" t="s">
        <v>3176</v>
      </c>
      <c r="F93" s="0" t="s">
        <v>3183</v>
      </c>
      <c r="G93" s="0" t="s">
        <v>3343</v>
      </c>
      <c r="H93" s="3" t="b">
        <f aca="false">ISNUMBER(MATCH(F93,'globales-sys'!F:F, 0))</f>
        <v>0</v>
      </c>
      <c r="I93" s="1" t="str">
        <f aca="false">IFERROR(INDEX('globales-sys'!G:G, MATCH(F93,'globales-sys'!F:F, 0)), "")</f>
        <v/>
      </c>
      <c r="J93" s="3" t="b">
        <f aca="false">ISNUMBER(MATCH(F93,'globales-baas'!F:F, 0))</f>
        <v>0</v>
      </c>
      <c r="K93" s="1" t="str">
        <f aca="false">IFERROR(INDEX('globales-baas'!G:G, MATCH(F93,'globales-baas'!F:F, 0)), "")</f>
        <v/>
      </c>
      <c r="L93" s="3" t="b">
        <f aca="false">ISNUMBER(MATCH(F93,'globales-bff'!F:F, 0))</f>
        <v>0</v>
      </c>
      <c r="M93" s="1" t="str">
        <f aca="false">IFERROR(INDEX('globales-bff'!G:G, MATCH(F93,'globales-bff'!F:F, 0)), "")</f>
        <v/>
      </c>
    </row>
    <row r="94" customFormat="false" ht="12.8" hidden="false" customHeight="false" outlineLevel="0" collapsed="false">
      <c r="A94" s="0" t="s">
        <v>2891</v>
      </c>
      <c r="B94" s="0" t="s">
        <v>3336</v>
      </c>
      <c r="C94" s="0" t="n">
        <v>200</v>
      </c>
      <c r="D94" s="0" t="s">
        <v>3337</v>
      </c>
      <c r="E94" s="0" t="s">
        <v>3176</v>
      </c>
      <c r="F94" s="0" t="s">
        <v>3185</v>
      </c>
      <c r="G94" s="0" t="s">
        <v>3192</v>
      </c>
      <c r="H94" s="3" t="b">
        <f aca="false">ISNUMBER(MATCH(F94,'globales-sys'!F:F, 0))</f>
        <v>0</v>
      </c>
      <c r="I94" s="1" t="str">
        <f aca="false">IFERROR(INDEX('globales-sys'!G:G, MATCH(F94,'globales-sys'!F:F, 0)), "")</f>
        <v/>
      </c>
      <c r="J94" s="3" t="b">
        <f aca="false">ISNUMBER(MATCH(F94,'globales-baas'!F:F, 0))</f>
        <v>0</v>
      </c>
      <c r="K94" s="1" t="str">
        <f aca="false">IFERROR(INDEX('globales-baas'!G:G, MATCH(F94,'globales-baas'!F:F, 0)), "")</f>
        <v/>
      </c>
      <c r="L94" s="3" t="b">
        <f aca="false">ISNUMBER(MATCH(F94,'globales-bff'!F:F, 0))</f>
        <v>0</v>
      </c>
      <c r="M94" s="1" t="str">
        <f aca="false">IFERROR(INDEX('globales-bff'!G:G, MATCH(F94,'globales-bff'!F:F, 0)), "")</f>
        <v/>
      </c>
    </row>
    <row r="95" customFormat="false" ht="12.8" hidden="false" customHeight="false" outlineLevel="0" collapsed="false">
      <c r="A95" s="0" t="s">
        <v>2891</v>
      </c>
      <c r="B95" s="0" t="s">
        <v>3336</v>
      </c>
      <c r="C95" s="0" t="n">
        <v>200</v>
      </c>
      <c r="D95" s="0" t="s">
        <v>3337</v>
      </c>
      <c r="E95" s="0" t="s">
        <v>3176</v>
      </c>
      <c r="F95" s="0" t="s">
        <v>3187</v>
      </c>
      <c r="G95" s="0" t="s">
        <v>3344</v>
      </c>
      <c r="H95" s="3" t="b">
        <f aca="false">ISNUMBER(MATCH(F95,'globales-sys'!F:F, 0))</f>
        <v>0</v>
      </c>
      <c r="I95" s="1" t="str">
        <f aca="false">IFERROR(INDEX('globales-sys'!G:G, MATCH(F95,'globales-sys'!F:F, 0)), "")</f>
        <v/>
      </c>
      <c r="J95" s="3" t="b">
        <f aca="false">ISNUMBER(MATCH(F95,'globales-baas'!F:F, 0))</f>
        <v>0</v>
      </c>
      <c r="K95" s="1" t="str">
        <f aca="false">IFERROR(INDEX('globales-baas'!G:G, MATCH(F95,'globales-baas'!F:F, 0)), "")</f>
        <v/>
      </c>
      <c r="L95" s="3" t="b">
        <f aca="false">ISNUMBER(MATCH(F95,'globales-bff'!F:F, 0))</f>
        <v>0</v>
      </c>
      <c r="M95" s="1" t="str">
        <f aca="false">IFERROR(INDEX('globales-bff'!G:G, MATCH(F95,'globales-bff'!F:F, 0)), "")</f>
        <v/>
      </c>
    </row>
    <row r="96" customFormat="false" ht="12.8" hidden="false" customHeight="false" outlineLevel="0" collapsed="false">
      <c r="A96" s="0" t="s">
        <v>2891</v>
      </c>
      <c r="B96" s="0" t="s">
        <v>3336</v>
      </c>
      <c r="C96" s="0" t="n">
        <v>200</v>
      </c>
      <c r="D96" s="0" t="s">
        <v>3337</v>
      </c>
      <c r="E96" s="0" t="s">
        <v>3176</v>
      </c>
      <c r="F96" s="0" t="s">
        <v>3189</v>
      </c>
      <c r="G96" s="0" t="s">
        <v>3345</v>
      </c>
      <c r="H96" s="3" t="b">
        <f aca="false">ISNUMBER(MATCH(F96,'globales-sys'!F:F, 0))</f>
        <v>0</v>
      </c>
      <c r="I96" s="1" t="str">
        <f aca="false">IFERROR(INDEX('globales-sys'!G:G, MATCH(F96,'globales-sys'!F:F, 0)), "")</f>
        <v/>
      </c>
      <c r="J96" s="3" t="b">
        <f aca="false">ISNUMBER(MATCH(F96,'globales-baas'!F:F, 0))</f>
        <v>0</v>
      </c>
      <c r="K96" s="1" t="str">
        <f aca="false">IFERROR(INDEX('globales-baas'!G:G, MATCH(F96,'globales-baas'!F:F, 0)), "")</f>
        <v/>
      </c>
      <c r="L96" s="3" t="b">
        <f aca="false">ISNUMBER(MATCH(F96,'globales-bff'!F:F, 0))</f>
        <v>0</v>
      </c>
      <c r="M96" s="1" t="str">
        <f aca="false">IFERROR(INDEX('globales-bff'!G:G, MATCH(F96,'globales-bff'!F:F, 0)), "")</f>
        <v/>
      </c>
    </row>
    <row r="97" customFormat="false" ht="12.8" hidden="false" customHeight="false" outlineLevel="0" collapsed="false">
      <c r="A97" s="0" t="s">
        <v>2891</v>
      </c>
      <c r="B97" s="0" t="s">
        <v>3336</v>
      </c>
      <c r="C97" s="0" t="n">
        <v>200</v>
      </c>
      <c r="D97" s="0" t="s">
        <v>3337</v>
      </c>
      <c r="E97" s="0" t="s">
        <v>3176</v>
      </c>
      <c r="F97" s="0" t="s">
        <v>3191</v>
      </c>
      <c r="G97" s="0" t="s">
        <v>3346</v>
      </c>
      <c r="H97" s="3" t="b">
        <f aca="false">ISNUMBER(MATCH(F97,'globales-sys'!F:F, 0))</f>
        <v>0</v>
      </c>
      <c r="I97" s="1" t="str">
        <f aca="false">IFERROR(INDEX('globales-sys'!G:G, MATCH(F97,'globales-sys'!F:F, 0)), "")</f>
        <v/>
      </c>
      <c r="J97" s="3" t="b">
        <f aca="false">ISNUMBER(MATCH(F97,'globales-baas'!F:F, 0))</f>
        <v>0</v>
      </c>
      <c r="K97" s="1" t="str">
        <f aca="false">IFERROR(INDEX('globales-baas'!G:G, MATCH(F97,'globales-baas'!F:F, 0)), "")</f>
        <v/>
      </c>
      <c r="L97" s="3" t="b">
        <f aca="false">ISNUMBER(MATCH(F97,'globales-bff'!F:F, 0))</f>
        <v>0</v>
      </c>
      <c r="M97" s="1" t="str">
        <f aca="false">IFERROR(INDEX('globales-bff'!G:G, MATCH(F97,'globales-bff'!F:F, 0)), "")</f>
        <v/>
      </c>
    </row>
    <row r="98" customFormat="false" ht="12.8" hidden="false" customHeight="false" outlineLevel="0" collapsed="false">
      <c r="A98" s="0" t="s">
        <v>2891</v>
      </c>
      <c r="B98" s="0" t="s">
        <v>3336</v>
      </c>
      <c r="C98" s="0" t="n">
        <v>200</v>
      </c>
      <c r="D98" s="0" t="s">
        <v>3337</v>
      </c>
      <c r="E98" s="0" t="s">
        <v>3176</v>
      </c>
      <c r="F98" s="0" t="s">
        <v>3193</v>
      </c>
      <c r="G98" s="0" t="s">
        <v>3194</v>
      </c>
      <c r="H98" s="3" t="b">
        <f aca="false">ISNUMBER(MATCH(F98,'globales-sys'!F:F, 0))</f>
        <v>0</v>
      </c>
      <c r="I98" s="1" t="str">
        <f aca="false">IFERROR(INDEX('globales-sys'!G:G, MATCH(F98,'globales-sys'!F:F, 0)), "")</f>
        <v/>
      </c>
      <c r="J98" s="3" t="b">
        <f aca="false">ISNUMBER(MATCH(F98,'globales-baas'!F:F, 0))</f>
        <v>0</v>
      </c>
      <c r="K98" s="1" t="str">
        <f aca="false">IFERROR(INDEX('globales-baas'!G:G, MATCH(F98,'globales-baas'!F:F, 0)), "")</f>
        <v/>
      </c>
      <c r="L98" s="3" t="b">
        <f aca="false">ISNUMBER(MATCH(F98,'globales-bff'!F:F, 0))</f>
        <v>0</v>
      </c>
      <c r="M98" s="1" t="str">
        <f aca="false">IFERROR(INDEX('globales-bff'!G:G, MATCH(F98,'globales-bff'!F:F, 0)), "")</f>
        <v/>
      </c>
    </row>
    <row r="99" customFormat="false" ht="12.8" hidden="false" customHeight="false" outlineLevel="0" collapsed="false">
      <c r="A99" s="0" t="s">
        <v>2668</v>
      </c>
      <c r="B99" s="0" t="s">
        <v>3347</v>
      </c>
      <c r="C99" s="0" t="n">
        <v>404</v>
      </c>
      <c r="D99" s="0" t="s">
        <v>3284</v>
      </c>
      <c r="E99" s="0" t="n">
        <v>404</v>
      </c>
      <c r="H99" s="3" t="b">
        <f aca="false">ISNUMBER(MATCH(F99,'globales-sys'!F:F, 0))</f>
        <v>0</v>
      </c>
      <c r="I99" s="1" t="str">
        <f aca="false">IFERROR(INDEX('globales-sys'!G:G, MATCH(F99,'globales-sys'!F:F, 0)), "")</f>
        <v/>
      </c>
      <c r="J99" s="3" t="b">
        <f aca="false">ISNUMBER(MATCH(F99,'globales-baas'!F:F, 0))</f>
        <v>0</v>
      </c>
      <c r="K99" s="1" t="str">
        <f aca="false">IFERROR(INDEX('globales-baas'!G:G, MATCH(F99,'globales-baas'!F:F, 0)), "")</f>
        <v/>
      </c>
      <c r="L99" s="3" t="b">
        <f aca="false">ISNUMBER(MATCH(F99,'globales-bff'!F:F, 0))</f>
        <v>0</v>
      </c>
      <c r="M99" s="1" t="str">
        <f aca="false">IFERROR(INDEX('globales-bff'!G:G, MATCH(F99,'globales-bff'!F:F, 0)), "")</f>
        <v/>
      </c>
    </row>
    <row r="100" customFormat="false" ht="12.8" hidden="false" customHeight="false" outlineLevel="0" collapsed="false">
      <c r="A100" s="0" t="s">
        <v>3096</v>
      </c>
      <c r="B100" s="0" t="s">
        <v>3348</v>
      </c>
      <c r="C100" s="0" t="n">
        <v>404</v>
      </c>
      <c r="D100" s="0" t="s">
        <v>3349</v>
      </c>
      <c r="E100" s="0" t="n">
        <v>404</v>
      </c>
      <c r="H100" s="3" t="b">
        <f aca="false">ISNUMBER(MATCH(F100,'globales-sys'!F:F, 0))</f>
        <v>0</v>
      </c>
      <c r="I100" s="1" t="str">
        <f aca="false">IFERROR(INDEX('globales-sys'!G:G, MATCH(F100,'globales-sys'!F:F, 0)), "")</f>
        <v/>
      </c>
      <c r="J100" s="3" t="b">
        <f aca="false">ISNUMBER(MATCH(F100,'globales-baas'!F:F, 0))</f>
        <v>0</v>
      </c>
      <c r="K100" s="1" t="str">
        <f aca="false">IFERROR(INDEX('globales-baas'!G:G, MATCH(F100,'globales-baas'!F:F, 0)), "")</f>
        <v/>
      </c>
      <c r="L100" s="3" t="b">
        <f aca="false">ISNUMBER(MATCH(F100,'globales-bff'!F:F, 0))</f>
        <v>0</v>
      </c>
      <c r="M100" s="1" t="str">
        <f aca="false">IFERROR(INDEX('globales-bff'!G:G, MATCH(F100,'globales-bff'!F:F, 0)), "")</f>
        <v/>
      </c>
    </row>
    <row r="101" customFormat="false" ht="12.8" hidden="false" customHeight="false" outlineLevel="0" collapsed="false">
      <c r="A101" s="0" t="s">
        <v>1894</v>
      </c>
      <c r="B101" s="0" t="s">
        <v>3350</v>
      </c>
      <c r="C101" s="0" t="n">
        <v>404</v>
      </c>
      <c r="D101" s="0" t="s">
        <v>3351</v>
      </c>
      <c r="E101" s="0" t="n">
        <v>404</v>
      </c>
      <c r="H101" s="3" t="b">
        <f aca="false">ISNUMBER(MATCH(F101,'globales-sys'!F:F, 0))</f>
        <v>0</v>
      </c>
      <c r="I101" s="1" t="str">
        <f aca="false">IFERROR(INDEX('globales-sys'!G:G, MATCH(F101,'globales-sys'!F:F, 0)), "")</f>
        <v/>
      </c>
      <c r="J101" s="3" t="b">
        <f aca="false">ISNUMBER(MATCH(F101,'globales-baas'!F:F, 0))</f>
        <v>0</v>
      </c>
      <c r="K101" s="1" t="str">
        <f aca="false">IFERROR(INDEX('globales-baas'!G:G, MATCH(F101,'globales-baas'!F:F, 0)), "")</f>
        <v/>
      </c>
      <c r="L101" s="3" t="b">
        <f aca="false">ISNUMBER(MATCH(F101,'globales-bff'!F:F, 0))</f>
        <v>0</v>
      </c>
      <c r="M101" s="1" t="str">
        <f aca="false">IFERROR(INDEX('globales-bff'!G:G, MATCH(F101,'globales-bff'!F:F, 0)), "")</f>
        <v/>
      </c>
    </row>
    <row r="102" customFormat="false" ht="12.8" hidden="false" customHeight="false" outlineLevel="0" collapsed="false">
      <c r="A102" s="0" t="s">
        <v>3041</v>
      </c>
      <c r="B102" s="0" t="s">
        <v>3352</v>
      </c>
      <c r="C102" s="0" t="n">
        <v>200</v>
      </c>
      <c r="D102" s="0" t="s">
        <v>3295</v>
      </c>
      <c r="E102" s="0" t="s">
        <v>3176</v>
      </c>
      <c r="F102" s="0" t="s">
        <v>3318</v>
      </c>
      <c r="G102" s="0" t="s">
        <v>3319</v>
      </c>
      <c r="H102" s="3" t="b">
        <f aca="false">ISNUMBER(MATCH(F102,'globales-sys'!F:F, 0))</f>
        <v>1</v>
      </c>
      <c r="I102" s="1" t="str">
        <f aca="false">IFERROR(INDEX('globales-sys'!G:G, MATCH(F102,'globales-sys'!F:F, 0)), "")</f>
        <v>https://ms-infra-security-jwt-pro-ns-inf.${PROVIDER_SUFFIX_URL:apps.pro.aws.bancsabadell.com}/jwt/jwk_uri</v>
      </c>
      <c r="J102" s="3" t="b">
        <f aca="false">ISNUMBER(MATCH(F102,'globales-baas'!F:F, 0))</f>
        <v>1</v>
      </c>
      <c r="K102" s="1" t="str">
        <f aca="false">IFERROR(INDEX('globales-baas'!G:G, MATCH(F102,'globales-baas'!F:F, 0)), "")</f>
        <v>https://ms-infra-security-jwt-pro-ns-inf.${PROVIDER_SUFFIX_URL:apps.pro.aws.bancsabadell.com}/jwt/jwk_uri</v>
      </c>
      <c r="L102" s="3" t="b">
        <f aca="false">ISNUMBER(MATCH(F102,'globales-bff'!F:F, 0))</f>
        <v>1</v>
      </c>
      <c r="M102" s="1" t="str">
        <f aca="false">IFERROR(INDEX('globales-bff'!G:G, MATCH(F102,'globales-bff'!F:F, 0)), "")</f>
        <v>https://ms-infra-security-jwt-pro-ns-inf.${PROVIDER_SUFFIX_URL:apps.pro.aws.bancsabadell.com}/jwt/jwk_uri</v>
      </c>
    </row>
    <row r="103" customFormat="false" ht="12.8" hidden="false" customHeight="false" outlineLevel="0" collapsed="false">
      <c r="A103" s="0" t="s">
        <v>3041</v>
      </c>
      <c r="B103" s="0" t="s">
        <v>3352</v>
      </c>
      <c r="C103" s="0" t="n">
        <v>200</v>
      </c>
      <c r="D103" s="0" t="s">
        <v>3295</v>
      </c>
      <c r="E103" s="0" t="s">
        <v>3176</v>
      </c>
      <c r="F103" s="0" t="s">
        <v>3177</v>
      </c>
      <c r="G103" s="0" t="s">
        <v>3353</v>
      </c>
      <c r="H103" s="3" t="b">
        <f aca="false">ISNUMBER(MATCH(F103,'globales-sys'!F:F, 0))</f>
        <v>0</v>
      </c>
      <c r="I103" s="1" t="str">
        <f aca="false">IFERROR(INDEX('globales-sys'!G:G, MATCH(F103,'globales-sys'!F:F, 0)), "")</f>
        <v/>
      </c>
      <c r="J103" s="3" t="b">
        <f aca="false">ISNUMBER(MATCH(F103,'globales-baas'!F:F, 0))</f>
        <v>0</v>
      </c>
      <c r="K103" s="1" t="str">
        <f aca="false">IFERROR(INDEX('globales-baas'!G:G, MATCH(F103,'globales-baas'!F:F, 0)), "")</f>
        <v/>
      </c>
      <c r="L103" s="3" t="b">
        <f aca="false">ISNUMBER(MATCH(F103,'globales-bff'!F:F, 0))</f>
        <v>0</v>
      </c>
      <c r="M103" s="1" t="str">
        <f aca="false">IFERROR(INDEX('globales-bff'!G:G, MATCH(F103,'globales-bff'!F:F, 0)), "")</f>
        <v/>
      </c>
    </row>
    <row r="104" customFormat="false" ht="12.8" hidden="false" customHeight="false" outlineLevel="0" collapsed="false">
      <c r="A104" s="0" t="s">
        <v>3041</v>
      </c>
      <c r="B104" s="0" t="s">
        <v>3352</v>
      </c>
      <c r="C104" s="0" t="n">
        <v>200</v>
      </c>
      <c r="D104" s="0" t="s">
        <v>3295</v>
      </c>
      <c r="E104" s="0" t="s">
        <v>3176</v>
      </c>
      <c r="F104" s="0" t="s">
        <v>3179</v>
      </c>
      <c r="G104" s="0" t="s">
        <v>3354</v>
      </c>
      <c r="H104" s="3" t="b">
        <f aca="false">ISNUMBER(MATCH(F104,'globales-sys'!F:F, 0))</f>
        <v>0</v>
      </c>
      <c r="I104" s="1" t="str">
        <f aca="false">IFERROR(INDEX('globales-sys'!G:G, MATCH(F104,'globales-sys'!F:F, 0)), "")</f>
        <v/>
      </c>
      <c r="J104" s="3" t="b">
        <f aca="false">ISNUMBER(MATCH(F104,'globales-baas'!F:F, 0))</f>
        <v>0</v>
      </c>
      <c r="K104" s="1" t="str">
        <f aca="false">IFERROR(INDEX('globales-baas'!G:G, MATCH(F104,'globales-baas'!F:F, 0)), "")</f>
        <v/>
      </c>
      <c r="L104" s="3" t="b">
        <f aca="false">ISNUMBER(MATCH(F104,'globales-bff'!F:F, 0))</f>
        <v>0</v>
      </c>
      <c r="M104" s="1" t="str">
        <f aca="false">IFERROR(INDEX('globales-bff'!G:G, MATCH(F104,'globales-bff'!F:F, 0)), "")</f>
        <v/>
      </c>
    </row>
    <row r="105" customFormat="false" ht="12.8" hidden="false" customHeight="false" outlineLevel="0" collapsed="false">
      <c r="A105" s="0" t="s">
        <v>3041</v>
      </c>
      <c r="B105" s="0" t="s">
        <v>3352</v>
      </c>
      <c r="C105" s="0" t="n">
        <v>200</v>
      </c>
      <c r="D105" s="0" t="s">
        <v>3295</v>
      </c>
      <c r="E105" s="0" t="s">
        <v>3176</v>
      </c>
      <c r="F105" s="0" t="s">
        <v>3181</v>
      </c>
      <c r="G105" s="0" t="s">
        <v>3355</v>
      </c>
      <c r="H105" s="3" t="b">
        <f aca="false">ISNUMBER(MATCH(F105,'globales-sys'!F:F, 0))</f>
        <v>0</v>
      </c>
      <c r="I105" s="1" t="str">
        <f aca="false">IFERROR(INDEX('globales-sys'!G:G, MATCH(F105,'globales-sys'!F:F, 0)), "")</f>
        <v/>
      </c>
      <c r="J105" s="3" t="b">
        <f aca="false">ISNUMBER(MATCH(F105,'globales-baas'!F:F, 0))</f>
        <v>0</v>
      </c>
      <c r="K105" s="1" t="str">
        <f aca="false">IFERROR(INDEX('globales-baas'!G:G, MATCH(F105,'globales-baas'!F:F, 0)), "")</f>
        <v/>
      </c>
      <c r="L105" s="3" t="b">
        <f aca="false">ISNUMBER(MATCH(F105,'globales-bff'!F:F, 0))</f>
        <v>0</v>
      </c>
      <c r="M105" s="1" t="str">
        <f aca="false">IFERROR(INDEX('globales-bff'!G:G, MATCH(F105,'globales-bff'!F:F, 0)), "")</f>
        <v/>
      </c>
    </row>
    <row r="106" customFormat="false" ht="12.8" hidden="false" customHeight="false" outlineLevel="0" collapsed="false">
      <c r="A106" s="0" t="s">
        <v>3041</v>
      </c>
      <c r="B106" s="0" t="s">
        <v>3352</v>
      </c>
      <c r="C106" s="0" t="n">
        <v>200</v>
      </c>
      <c r="D106" s="0" t="s">
        <v>3295</v>
      </c>
      <c r="E106" s="0" t="s">
        <v>3176</v>
      </c>
      <c r="F106" s="0" t="s">
        <v>3183</v>
      </c>
      <c r="G106" s="0" t="s">
        <v>3356</v>
      </c>
      <c r="H106" s="3" t="b">
        <f aca="false">ISNUMBER(MATCH(F106,'globales-sys'!F:F, 0))</f>
        <v>0</v>
      </c>
      <c r="I106" s="1" t="str">
        <f aca="false">IFERROR(INDEX('globales-sys'!G:G, MATCH(F106,'globales-sys'!F:F, 0)), "")</f>
        <v/>
      </c>
      <c r="J106" s="3" t="b">
        <f aca="false">ISNUMBER(MATCH(F106,'globales-baas'!F:F, 0))</f>
        <v>0</v>
      </c>
      <c r="K106" s="1" t="str">
        <f aca="false">IFERROR(INDEX('globales-baas'!G:G, MATCH(F106,'globales-baas'!F:F, 0)), "")</f>
        <v/>
      </c>
      <c r="L106" s="3" t="b">
        <f aca="false">ISNUMBER(MATCH(F106,'globales-bff'!F:F, 0))</f>
        <v>0</v>
      </c>
      <c r="M106" s="1" t="str">
        <f aca="false">IFERROR(INDEX('globales-bff'!G:G, MATCH(F106,'globales-bff'!F:F, 0)), "")</f>
        <v/>
      </c>
    </row>
    <row r="107" customFormat="false" ht="12.8" hidden="false" customHeight="false" outlineLevel="0" collapsed="false">
      <c r="A107" s="0" t="s">
        <v>3041</v>
      </c>
      <c r="B107" s="0" t="s">
        <v>3352</v>
      </c>
      <c r="C107" s="0" t="n">
        <v>200</v>
      </c>
      <c r="D107" s="0" t="s">
        <v>3295</v>
      </c>
      <c r="E107" s="0" t="s">
        <v>3176</v>
      </c>
      <c r="F107" s="0" t="s">
        <v>3185</v>
      </c>
      <c r="G107" s="0" t="s">
        <v>3357</v>
      </c>
      <c r="H107" s="3" t="b">
        <f aca="false">ISNUMBER(MATCH(F107,'globales-sys'!F:F, 0))</f>
        <v>0</v>
      </c>
      <c r="I107" s="1" t="str">
        <f aca="false">IFERROR(INDEX('globales-sys'!G:G, MATCH(F107,'globales-sys'!F:F, 0)), "")</f>
        <v/>
      </c>
      <c r="J107" s="3" t="b">
        <f aca="false">ISNUMBER(MATCH(F107,'globales-baas'!F:F, 0))</f>
        <v>0</v>
      </c>
      <c r="K107" s="1" t="str">
        <f aca="false">IFERROR(INDEX('globales-baas'!G:G, MATCH(F107,'globales-baas'!F:F, 0)), "")</f>
        <v/>
      </c>
      <c r="L107" s="3" t="b">
        <f aca="false">ISNUMBER(MATCH(F107,'globales-bff'!F:F, 0))</f>
        <v>0</v>
      </c>
      <c r="M107" s="1" t="str">
        <f aca="false">IFERROR(INDEX('globales-bff'!G:G, MATCH(F107,'globales-bff'!F:F, 0)), "")</f>
        <v/>
      </c>
    </row>
    <row r="108" customFormat="false" ht="12.8" hidden="false" customHeight="false" outlineLevel="0" collapsed="false">
      <c r="A108" s="0" t="s">
        <v>3041</v>
      </c>
      <c r="B108" s="0" t="s">
        <v>3352</v>
      </c>
      <c r="C108" s="0" t="n">
        <v>200</v>
      </c>
      <c r="D108" s="0" t="s">
        <v>3295</v>
      </c>
      <c r="E108" s="0" t="s">
        <v>3176</v>
      </c>
      <c r="F108" s="0" t="s">
        <v>3187</v>
      </c>
      <c r="G108" s="0" t="s">
        <v>3358</v>
      </c>
      <c r="H108" s="3" t="b">
        <f aca="false">ISNUMBER(MATCH(F108,'globales-sys'!F:F, 0))</f>
        <v>0</v>
      </c>
      <c r="I108" s="1" t="str">
        <f aca="false">IFERROR(INDEX('globales-sys'!G:G, MATCH(F108,'globales-sys'!F:F, 0)), "")</f>
        <v/>
      </c>
      <c r="J108" s="3" t="b">
        <f aca="false">ISNUMBER(MATCH(F108,'globales-baas'!F:F, 0))</f>
        <v>0</v>
      </c>
      <c r="K108" s="1" t="str">
        <f aca="false">IFERROR(INDEX('globales-baas'!G:G, MATCH(F108,'globales-baas'!F:F, 0)), "")</f>
        <v/>
      </c>
      <c r="L108" s="3" t="b">
        <f aca="false">ISNUMBER(MATCH(F108,'globales-bff'!F:F, 0))</f>
        <v>0</v>
      </c>
      <c r="M108" s="1" t="str">
        <f aca="false">IFERROR(INDEX('globales-bff'!G:G, MATCH(F108,'globales-bff'!F:F, 0)), "")</f>
        <v/>
      </c>
    </row>
    <row r="109" customFormat="false" ht="12.8" hidden="false" customHeight="false" outlineLevel="0" collapsed="false">
      <c r="A109" s="0" t="s">
        <v>3041</v>
      </c>
      <c r="B109" s="0" t="s">
        <v>3352</v>
      </c>
      <c r="C109" s="0" t="n">
        <v>200</v>
      </c>
      <c r="D109" s="0" t="s">
        <v>3295</v>
      </c>
      <c r="E109" s="0" t="s">
        <v>3176</v>
      </c>
      <c r="F109" s="0" t="s">
        <v>3198</v>
      </c>
      <c r="G109" s="0" t="s">
        <v>3199</v>
      </c>
      <c r="H109" s="3" t="b">
        <f aca="false">ISNUMBER(MATCH(F109,'globales-sys'!F:F, 0))</f>
        <v>1</v>
      </c>
      <c r="I109" s="1" t="str">
        <f aca="false">IFERROR(INDEX('globales-sys'!G:G, MATCH(F109,'globales-sys'!F:F, 0)), "")</f>
        <v>https://ms-infra-mainframe-adapter-pro-ns-inf.${PROVIDER_SUFFIX_URL:apps.pro.aws.bancsabadell.com}</v>
      </c>
      <c r="J109" s="3" t="b">
        <f aca="false">ISNUMBER(MATCH(F109,'globales-baas'!F:F, 0))</f>
        <v>0</v>
      </c>
      <c r="K109" s="1" t="str">
        <f aca="false">IFERROR(INDEX('globales-baas'!G:G, MATCH(F109,'globales-baas'!F:F, 0)), "")</f>
        <v/>
      </c>
      <c r="L109" s="3" t="b">
        <f aca="false">ISNUMBER(MATCH(F109,'globales-bff'!F:F, 0))</f>
        <v>0</v>
      </c>
      <c r="M109" s="1" t="str">
        <f aca="false">IFERROR(INDEX('globales-bff'!G:G, MATCH(F109,'globales-bff'!F:F, 0)), "")</f>
        <v/>
      </c>
    </row>
    <row r="110" customFormat="false" ht="12.8" hidden="false" customHeight="false" outlineLevel="0" collapsed="false">
      <c r="A110" s="0" t="s">
        <v>3041</v>
      </c>
      <c r="B110" s="0" t="s">
        <v>3352</v>
      </c>
      <c r="C110" s="0" t="n">
        <v>200</v>
      </c>
      <c r="D110" s="0" t="s">
        <v>3295</v>
      </c>
      <c r="E110" s="0" t="s">
        <v>3176</v>
      </c>
      <c r="F110" s="0" t="s">
        <v>3359</v>
      </c>
      <c r="G110" s="0" t="s">
        <v>3360</v>
      </c>
      <c r="H110" s="3" t="b">
        <f aca="false">ISNUMBER(MATCH(F110,'globales-sys'!F:F, 0))</f>
        <v>0</v>
      </c>
      <c r="I110" s="1" t="str">
        <f aca="false">IFERROR(INDEX('globales-sys'!G:G, MATCH(F110,'globales-sys'!F:F, 0)), "")</f>
        <v/>
      </c>
      <c r="J110" s="3" t="b">
        <f aca="false">ISNUMBER(MATCH(F110,'globales-baas'!F:F, 0))</f>
        <v>0</v>
      </c>
      <c r="K110" s="1" t="str">
        <f aca="false">IFERROR(INDEX('globales-baas'!G:G, MATCH(F110,'globales-baas'!F:F, 0)), "")</f>
        <v/>
      </c>
      <c r="L110" s="3" t="b">
        <f aca="false">ISNUMBER(MATCH(F110,'globales-bff'!F:F, 0))</f>
        <v>0</v>
      </c>
      <c r="M110" s="1" t="str">
        <f aca="false">IFERROR(INDEX('globales-bff'!G:G, MATCH(F110,'globales-bff'!F:F, 0)), "")</f>
        <v/>
      </c>
    </row>
    <row r="111" customFormat="false" ht="12.8" hidden="false" customHeight="false" outlineLevel="0" collapsed="false">
      <c r="A111" s="0" t="s">
        <v>1237</v>
      </c>
      <c r="B111" s="0" t="s">
        <v>3361</v>
      </c>
      <c r="C111" s="0" t="n">
        <v>404</v>
      </c>
      <c r="D111" s="0" t="s">
        <v>3286</v>
      </c>
      <c r="E111" s="0" t="n">
        <v>404</v>
      </c>
      <c r="H111" s="3" t="b">
        <f aca="false">ISNUMBER(MATCH(F111,'globales-sys'!F:F, 0))</f>
        <v>0</v>
      </c>
      <c r="I111" s="1" t="str">
        <f aca="false">IFERROR(INDEX('globales-sys'!G:G, MATCH(F111,'globales-sys'!F:F, 0)), "")</f>
        <v/>
      </c>
      <c r="J111" s="3" t="b">
        <f aca="false">ISNUMBER(MATCH(F111,'globales-baas'!F:F, 0))</f>
        <v>0</v>
      </c>
      <c r="K111" s="1" t="str">
        <f aca="false">IFERROR(INDEX('globales-baas'!G:G, MATCH(F111,'globales-baas'!F:F, 0)), "")</f>
        <v/>
      </c>
      <c r="L111" s="3" t="b">
        <f aca="false">ISNUMBER(MATCH(F111,'globales-bff'!F:F, 0))</f>
        <v>0</v>
      </c>
      <c r="M111" s="1" t="str">
        <f aca="false">IFERROR(INDEX('globales-bff'!G:G, MATCH(F111,'globales-bff'!F:F, 0)), "")</f>
        <v/>
      </c>
    </row>
    <row r="112" customFormat="false" ht="12.8" hidden="false" customHeight="false" outlineLevel="0" collapsed="false">
      <c r="A112" s="0" t="s">
        <v>1160</v>
      </c>
      <c r="B112" s="0" t="s">
        <v>3362</v>
      </c>
      <c r="C112" s="0" t="n">
        <v>404</v>
      </c>
      <c r="D112" s="0" t="s">
        <v>3363</v>
      </c>
      <c r="E112" s="0" t="n">
        <v>404</v>
      </c>
      <c r="H112" s="3" t="b">
        <f aca="false">ISNUMBER(MATCH(F112,'globales-sys'!F:F, 0))</f>
        <v>0</v>
      </c>
      <c r="I112" s="1" t="str">
        <f aca="false">IFERROR(INDEX('globales-sys'!G:G, MATCH(F112,'globales-sys'!F:F, 0)), "")</f>
        <v/>
      </c>
      <c r="J112" s="3" t="b">
        <f aca="false">ISNUMBER(MATCH(F112,'globales-baas'!F:F, 0))</f>
        <v>0</v>
      </c>
      <c r="K112" s="1" t="str">
        <f aca="false">IFERROR(INDEX('globales-baas'!G:G, MATCH(F112,'globales-baas'!F:F, 0)), "")</f>
        <v/>
      </c>
      <c r="L112" s="3" t="b">
        <f aca="false">ISNUMBER(MATCH(F112,'globales-bff'!F:F, 0))</f>
        <v>0</v>
      </c>
      <c r="M112" s="1" t="str">
        <f aca="false">IFERROR(INDEX('globales-bff'!G:G, MATCH(F112,'globales-bff'!F:F, 0)), "")</f>
        <v/>
      </c>
    </row>
    <row r="113" customFormat="false" ht="12.8" hidden="false" customHeight="false" outlineLevel="0" collapsed="false">
      <c r="A113" s="0" t="s">
        <v>1117</v>
      </c>
      <c r="B113" s="0" t="s">
        <v>3364</v>
      </c>
      <c r="C113" s="0" t="n">
        <v>200</v>
      </c>
      <c r="D113" s="0" t="s">
        <v>3284</v>
      </c>
      <c r="E113" s="0" t="s">
        <v>3176</v>
      </c>
      <c r="F113" s="0" t="s">
        <v>3318</v>
      </c>
      <c r="G113" s="0" t="s">
        <v>3319</v>
      </c>
      <c r="H113" s="3" t="b">
        <f aca="false">ISNUMBER(MATCH(F113,'globales-sys'!F:F, 0))</f>
        <v>1</v>
      </c>
      <c r="I113" s="1" t="str">
        <f aca="false">IFERROR(INDEX('globales-sys'!G:G, MATCH(F113,'globales-sys'!F:F, 0)), "")</f>
        <v>https://ms-infra-security-jwt-pro-ns-inf.${PROVIDER_SUFFIX_URL:apps.pro.aws.bancsabadell.com}/jwt/jwk_uri</v>
      </c>
      <c r="J113" s="3" t="b">
        <f aca="false">ISNUMBER(MATCH(F113,'globales-baas'!F:F, 0))</f>
        <v>1</v>
      </c>
      <c r="K113" s="1" t="str">
        <f aca="false">IFERROR(INDEX('globales-baas'!G:G, MATCH(F113,'globales-baas'!F:F, 0)), "")</f>
        <v>https://ms-infra-security-jwt-pro-ns-inf.${PROVIDER_SUFFIX_URL:apps.pro.aws.bancsabadell.com}/jwt/jwk_uri</v>
      </c>
      <c r="L113" s="3" t="b">
        <f aca="false">ISNUMBER(MATCH(F113,'globales-bff'!F:F, 0))</f>
        <v>1</v>
      </c>
      <c r="M113" s="1" t="str">
        <f aca="false">IFERROR(INDEX('globales-bff'!G:G, MATCH(F113,'globales-bff'!F:F, 0)), "")</f>
        <v>https://ms-infra-security-jwt-pro-ns-inf.${PROVIDER_SUFFIX_URL:apps.pro.aws.bancsabadell.com}/jwt/jwk_uri</v>
      </c>
    </row>
    <row r="114" customFormat="false" ht="12.8" hidden="false" customHeight="false" outlineLevel="0" collapsed="false">
      <c r="A114" s="0" t="s">
        <v>1117</v>
      </c>
      <c r="B114" s="0" t="s">
        <v>3364</v>
      </c>
      <c r="C114" s="0" t="n">
        <v>200</v>
      </c>
      <c r="D114" s="0" t="s">
        <v>3284</v>
      </c>
      <c r="E114" s="0" t="s">
        <v>3176</v>
      </c>
      <c r="F114" s="0" t="s">
        <v>3365</v>
      </c>
      <c r="G114" s="0" t="s">
        <v>3366</v>
      </c>
      <c r="H114" s="3" t="b">
        <f aca="false">ISNUMBER(MATCH(F114,'globales-sys'!F:F, 0))</f>
        <v>0</v>
      </c>
      <c r="I114" s="1" t="str">
        <f aca="false">IFERROR(INDEX('globales-sys'!G:G, MATCH(F114,'globales-sys'!F:F, 0)), "")</f>
        <v/>
      </c>
      <c r="J114" s="3" t="b">
        <f aca="false">ISNUMBER(MATCH(F114,'globales-baas'!F:F, 0))</f>
        <v>0</v>
      </c>
      <c r="K114" s="1" t="str">
        <f aca="false">IFERROR(INDEX('globales-baas'!G:G, MATCH(F114,'globales-baas'!F:F, 0)), "")</f>
        <v/>
      </c>
      <c r="L114" s="3" t="b">
        <f aca="false">ISNUMBER(MATCH(F114,'globales-bff'!F:F, 0))</f>
        <v>0</v>
      </c>
      <c r="M114" s="1" t="str">
        <f aca="false">IFERROR(INDEX('globales-bff'!G:G, MATCH(F114,'globales-bff'!F:F, 0)), "")</f>
        <v/>
      </c>
    </row>
    <row r="115" customFormat="false" ht="12.8" hidden="false" customHeight="false" outlineLevel="0" collapsed="false">
      <c r="A115" s="0" t="s">
        <v>1117</v>
      </c>
      <c r="B115" s="0" t="s">
        <v>3364</v>
      </c>
      <c r="C115" s="0" t="n">
        <v>200</v>
      </c>
      <c r="D115" s="0" t="s">
        <v>3284</v>
      </c>
      <c r="E115" s="0" t="s">
        <v>3176</v>
      </c>
      <c r="F115" s="0" t="s">
        <v>3367</v>
      </c>
      <c r="G115" s="0" t="s">
        <v>3368</v>
      </c>
      <c r="H115" s="3" t="b">
        <f aca="false">ISNUMBER(MATCH(F115,'globales-sys'!F:F, 0))</f>
        <v>0</v>
      </c>
      <c r="I115" s="1" t="str">
        <f aca="false">IFERROR(INDEX('globales-sys'!G:G, MATCH(F115,'globales-sys'!F:F, 0)), "")</f>
        <v/>
      </c>
      <c r="J115" s="3" t="b">
        <f aca="false">ISNUMBER(MATCH(F115,'globales-baas'!F:F, 0))</f>
        <v>0</v>
      </c>
      <c r="K115" s="1" t="str">
        <f aca="false">IFERROR(INDEX('globales-baas'!G:G, MATCH(F115,'globales-baas'!F:F, 0)), "")</f>
        <v/>
      </c>
      <c r="L115" s="3" t="b">
        <f aca="false">ISNUMBER(MATCH(F115,'globales-bff'!F:F, 0))</f>
        <v>0</v>
      </c>
      <c r="M115" s="1" t="str">
        <f aca="false">IFERROR(INDEX('globales-bff'!G:G, MATCH(F115,'globales-bff'!F:F, 0)), "")</f>
        <v/>
      </c>
    </row>
    <row r="116" customFormat="false" ht="12.8" hidden="false" customHeight="false" outlineLevel="0" collapsed="false">
      <c r="A116" s="0" t="s">
        <v>1117</v>
      </c>
      <c r="B116" s="0" t="s">
        <v>3364</v>
      </c>
      <c r="C116" s="0" t="n">
        <v>200</v>
      </c>
      <c r="D116" s="0" t="s">
        <v>3284</v>
      </c>
      <c r="E116" s="0" t="s">
        <v>3176</v>
      </c>
      <c r="F116" s="0" t="s">
        <v>3369</v>
      </c>
      <c r="G116" s="0" t="s">
        <v>3370</v>
      </c>
      <c r="H116" s="3" t="b">
        <f aca="false">ISNUMBER(MATCH(F116,'globales-sys'!F:F, 0))</f>
        <v>0</v>
      </c>
      <c r="I116" s="1" t="str">
        <f aca="false">IFERROR(INDEX('globales-sys'!G:G, MATCH(F116,'globales-sys'!F:F, 0)), "")</f>
        <v/>
      </c>
      <c r="J116" s="3" t="b">
        <f aca="false">ISNUMBER(MATCH(F116,'globales-baas'!F:F, 0))</f>
        <v>0</v>
      </c>
      <c r="K116" s="1" t="str">
        <f aca="false">IFERROR(INDEX('globales-baas'!G:G, MATCH(F116,'globales-baas'!F:F, 0)), "")</f>
        <v/>
      </c>
      <c r="L116" s="3" t="b">
        <f aca="false">ISNUMBER(MATCH(F116,'globales-bff'!F:F, 0))</f>
        <v>0</v>
      </c>
      <c r="M116" s="1" t="str">
        <f aca="false">IFERROR(INDEX('globales-bff'!G:G, MATCH(F116,'globales-bff'!F:F, 0)), "")</f>
        <v/>
      </c>
    </row>
    <row r="117" customFormat="false" ht="12.8" hidden="false" customHeight="false" outlineLevel="0" collapsed="false">
      <c r="A117" s="0" t="s">
        <v>1117</v>
      </c>
      <c r="B117" s="0" t="s">
        <v>3364</v>
      </c>
      <c r="C117" s="0" t="n">
        <v>200</v>
      </c>
      <c r="D117" s="0" t="s">
        <v>3284</v>
      </c>
      <c r="E117" s="0" t="s">
        <v>3176</v>
      </c>
      <c r="F117" s="0" t="s">
        <v>3371</v>
      </c>
      <c r="G117" s="0" t="s">
        <v>3372</v>
      </c>
      <c r="H117" s="3" t="b">
        <f aca="false">ISNUMBER(MATCH(F117,'globales-sys'!F:F, 0))</f>
        <v>0</v>
      </c>
      <c r="I117" s="1" t="str">
        <f aca="false">IFERROR(INDEX('globales-sys'!G:G, MATCH(F117,'globales-sys'!F:F, 0)), "")</f>
        <v/>
      </c>
      <c r="J117" s="3" t="b">
        <f aca="false">ISNUMBER(MATCH(F117,'globales-baas'!F:F, 0))</f>
        <v>0</v>
      </c>
      <c r="K117" s="1" t="str">
        <f aca="false">IFERROR(INDEX('globales-baas'!G:G, MATCH(F117,'globales-baas'!F:F, 0)), "")</f>
        <v/>
      </c>
      <c r="L117" s="3" t="b">
        <f aca="false">ISNUMBER(MATCH(F117,'globales-bff'!F:F, 0))</f>
        <v>0</v>
      </c>
      <c r="M117" s="1" t="str">
        <f aca="false">IFERROR(INDEX('globales-bff'!G:G, MATCH(F117,'globales-bff'!F:F, 0)), "")</f>
        <v/>
      </c>
    </row>
    <row r="118" customFormat="false" ht="12.8" hidden="false" customHeight="false" outlineLevel="0" collapsed="false">
      <c r="A118" s="0" t="s">
        <v>1117</v>
      </c>
      <c r="B118" s="0" t="s">
        <v>3364</v>
      </c>
      <c r="C118" s="0" t="n">
        <v>200</v>
      </c>
      <c r="D118" s="0" t="s">
        <v>3284</v>
      </c>
      <c r="E118" s="0" t="s">
        <v>3176</v>
      </c>
      <c r="F118" s="0" t="s">
        <v>3373</v>
      </c>
      <c r="G118" s="0" t="s">
        <v>3372</v>
      </c>
      <c r="H118" s="3" t="b">
        <f aca="false">ISNUMBER(MATCH(F118,'globales-sys'!F:F, 0))</f>
        <v>0</v>
      </c>
      <c r="I118" s="1" t="str">
        <f aca="false">IFERROR(INDEX('globales-sys'!G:G, MATCH(F118,'globales-sys'!F:F, 0)), "")</f>
        <v/>
      </c>
      <c r="J118" s="3" t="b">
        <f aca="false">ISNUMBER(MATCH(F118,'globales-baas'!F:F, 0))</f>
        <v>0</v>
      </c>
      <c r="K118" s="1" t="str">
        <f aca="false">IFERROR(INDEX('globales-baas'!G:G, MATCH(F118,'globales-baas'!F:F, 0)), "")</f>
        <v/>
      </c>
      <c r="L118" s="3" t="b">
        <f aca="false">ISNUMBER(MATCH(F118,'globales-bff'!F:F, 0))</f>
        <v>0</v>
      </c>
      <c r="M118" s="1" t="str">
        <f aca="false">IFERROR(INDEX('globales-bff'!G:G, MATCH(F118,'globales-bff'!F:F, 0)), "")</f>
        <v/>
      </c>
    </row>
    <row r="119" customFormat="false" ht="12.8" hidden="false" customHeight="false" outlineLevel="0" collapsed="false">
      <c r="A119" s="0" t="s">
        <v>2526</v>
      </c>
      <c r="B119" s="0" t="s">
        <v>3374</v>
      </c>
      <c r="C119" s="0" t="n">
        <v>404</v>
      </c>
      <c r="D119" s="0" t="s">
        <v>3375</v>
      </c>
      <c r="E119" s="0" t="n">
        <v>404</v>
      </c>
      <c r="H119" s="3" t="b">
        <f aca="false">ISNUMBER(MATCH(F119,'globales-sys'!F:F, 0))</f>
        <v>0</v>
      </c>
      <c r="I119" s="1" t="str">
        <f aca="false">IFERROR(INDEX('globales-sys'!G:G, MATCH(F119,'globales-sys'!F:F, 0)), "")</f>
        <v/>
      </c>
      <c r="J119" s="3" t="b">
        <f aca="false">ISNUMBER(MATCH(F119,'globales-baas'!F:F, 0))</f>
        <v>0</v>
      </c>
      <c r="K119" s="1" t="str">
        <f aca="false">IFERROR(INDEX('globales-baas'!G:G, MATCH(F119,'globales-baas'!F:F, 0)), "")</f>
        <v/>
      </c>
      <c r="L119" s="3" t="b">
        <f aca="false">ISNUMBER(MATCH(F119,'globales-bff'!F:F, 0))</f>
        <v>0</v>
      </c>
      <c r="M119" s="1" t="str">
        <f aca="false">IFERROR(INDEX('globales-bff'!G:G, MATCH(F119,'globales-bff'!F:F, 0)), "")</f>
        <v/>
      </c>
    </row>
    <row r="120" customFormat="false" ht="12.8" hidden="false" customHeight="false" outlineLevel="0" collapsed="false">
      <c r="A120" s="0" t="s">
        <v>1542</v>
      </c>
      <c r="B120" s="0" t="s">
        <v>3376</v>
      </c>
      <c r="C120" s="0" t="n">
        <v>200</v>
      </c>
      <c r="D120" s="0" t="s">
        <v>3377</v>
      </c>
      <c r="E120" s="0" t="s">
        <v>3176</v>
      </c>
      <c r="F120" s="0" t="s">
        <v>3198</v>
      </c>
      <c r="G120" s="0" t="s">
        <v>3199</v>
      </c>
      <c r="H120" s="3" t="b">
        <f aca="false">ISNUMBER(MATCH(F120,'globales-sys'!F:F, 0))</f>
        <v>1</v>
      </c>
      <c r="I120" s="1" t="str">
        <f aca="false">IFERROR(INDEX('globales-sys'!G:G, MATCH(F120,'globales-sys'!F:F, 0)), "")</f>
        <v>https://ms-infra-mainframe-adapter-pro-ns-inf.${PROVIDER_SUFFIX_URL:apps.pro.aws.bancsabadell.com}</v>
      </c>
      <c r="J120" s="3" t="b">
        <f aca="false">ISNUMBER(MATCH(F120,'globales-baas'!F:F, 0))</f>
        <v>0</v>
      </c>
      <c r="K120" s="1" t="str">
        <f aca="false">IFERROR(INDEX('globales-baas'!G:G, MATCH(F120,'globales-baas'!F:F, 0)), "")</f>
        <v/>
      </c>
      <c r="L120" s="3" t="b">
        <f aca="false">ISNUMBER(MATCH(F120,'globales-bff'!F:F, 0))</f>
        <v>0</v>
      </c>
      <c r="M120" s="1" t="str">
        <f aca="false">IFERROR(INDEX('globales-bff'!G:G, MATCH(F120,'globales-bff'!F:F, 0)), "")</f>
        <v/>
      </c>
    </row>
    <row r="121" customFormat="false" ht="12.8" hidden="false" customHeight="false" outlineLevel="0" collapsed="false">
      <c r="A121" s="0" t="s">
        <v>2322</v>
      </c>
      <c r="B121" s="0" t="s">
        <v>3378</v>
      </c>
      <c r="C121" s="0" t="n">
        <v>200</v>
      </c>
      <c r="D121" s="0" t="s">
        <v>3173</v>
      </c>
      <c r="E121" s="0" t="s">
        <v>3176</v>
      </c>
      <c r="F121" s="0" t="s">
        <v>3379</v>
      </c>
      <c r="G121" s="0" t="s">
        <v>3380</v>
      </c>
      <c r="H121" s="3" t="b">
        <f aca="false">ISNUMBER(MATCH(F121,'globales-sys'!F:F, 0))</f>
        <v>1</v>
      </c>
      <c r="I121" s="1" t="str">
        <f aca="false">IFERROR(INDEX('globales-sys'!G:G, MATCH(F121,'globales-sys'!F:F, 0)), "")</f>
        <v>https://ms-infra-doc-generator-pro-ns-inf.${PROVIDER_SUFFIX_URL:apps.pro.aws.bancsabadell.com}</v>
      </c>
      <c r="J121" s="3" t="b">
        <f aca="false">ISNUMBER(MATCH(F121,'globales-baas'!F:F, 0))</f>
        <v>0</v>
      </c>
      <c r="K121" s="1" t="str">
        <f aca="false">IFERROR(INDEX('globales-baas'!G:G, MATCH(F121,'globales-baas'!F:F, 0)), "")</f>
        <v/>
      </c>
      <c r="L121" s="3" t="b">
        <f aca="false">ISNUMBER(MATCH(F121,'globales-bff'!F:F, 0))</f>
        <v>0</v>
      </c>
      <c r="M121" s="1" t="str">
        <f aca="false">IFERROR(INDEX('globales-bff'!G:G, MATCH(F121,'globales-bff'!F:F, 0)), "")</f>
        <v/>
      </c>
    </row>
    <row r="122" customFormat="false" ht="12.8" hidden="false" customHeight="false" outlineLevel="0" collapsed="false">
      <c r="A122" s="0" t="s">
        <v>1561</v>
      </c>
      <c r="B122" s="0" t="s">
        <v>3381</v>
      </c>
      <c r="C122" s="0" t="n">
        <v>200</v>
      </c>
      <c r="D122" s="0" t="s">
        <v>3208</v>
      </c>
      <c r="E122" s="0" t="s">
        <v>3176</v>
      </c>
      <c r="F122" s="0" t="s">
        <v>3198</v>
      </c>
      <c r="G122" s="0" t="s">
        <v>3199</v>
      </c>
      <c r="H122" s="3" t="b">
        <f aca="false">ISNUMBER(MATCH(F122,'globales-sys'!F:F, 0))</f>
        <v>1</v>
      </c>
      <c r="I122" s="1" t="str">
        <f aca="false">IFERROR(INDEX('globales-sys'!G:G, MATCH(F122,'globales-sys'!F:F, 0)), "")</f>
        <v>https://ms-infra-mainframe-adapter-pro-ns-inf.${PROVIDER_SUFFIX_URL:apps.pro.aws.bancsabadell.com}</v>
      </c>
      <c r="J122" s="3" t="b">
        <f aca="false">ISNUMBER(MATCH(F122,'globales-baas'!F:F, 0))</f>
        <v>0</v>
      </c>
      <c r="K122" s="1" t="str">
        <f aca="false">IFERROR(INDEX('globales-baas'!G:G, MATCH(F122,'globales-baas'!F:F, 0)), "")</f>
        <v/>
      </c>
      <c r="L122" s="3" t="b">
        <f aca="false">ISNUMBER(MATCH(F122,'globales-bff'!F:F, 0))</f>
        <v>0</v>
      </c>
      <c r="M122" s="1" t="str">
        <f aca="false">IFERROR(INDEX('globales-bff'!G:G, MATCH(F122,'globales-bff'!F:F, 0)), "")</f>
        <v/>
      </c>
    </row>
    <row r="123" customFormat="false" ht="12.8" hidden="false" customHeight="false" outlineLevel="0" collapsed="false">
      <c r="A123" s="0" t="s">
        <v>2558</v>
      </c>
      <c r="B123" s="0" t="s">
        <v>3382</v>
      </c>
      <c r="C123" s="0" t="n">
        <v>404</v>
      </c>
      <c r="D123" s="0" t="s">
        <v>3383</v>
      </c>
      <c r="E123" s="0" t="n">
        <v>404</v>
      </c>
      <c r="H123" s="3" t="b">
        <f aca="false">ISNUMBER(MATCH(F123,'globales-sys'!F:F, 0))</f>
        <v>0</v>
      </c>
      <c r="I123" s="1" t="str">
        <f aca="false">IFERROR(INDEX('globales-sys'!G:G, MATCH(F123,'globales-sys'!F:F, 0)), "")</f>
        <v/>
      </c>
      <c r="J123" s="3" t="b">
        <f aca="false">ISNUMBER(MATCH(F123,'globales-baas'!F:F, 0))</f>
        <v>0</v>
      </c>
      <c r="K123" s="1" t="str">
        <f aca="false">IFERROR(INDEX('globales-baas'!G:G, MATCH(F123,'globales-baas'!F:F, 0)), "")</f>
        <v/>
      </c>
      <c r="L123" s="3" t="b">
        <f aca="false">ISNUMBER(MATCH(F123,'globales-bff'!F:F, 0))</f>
        <v>0</v>
      </c>
      <c r="M123" s="1" t="str">
        <f aca="false">IFERROR(INDEX('globales-bff'!G:G, MATCH(F123,'globales-bff'!F:F, 0)), "")</f>
        <v/>
      </c>
    </row>
    <row r="124" customFormat="false" ht="12.8" hidden="false" customHeight="false" outlineLevel="0" collapsed="false">
      <c r="A124" s="0" t="s">
        <v>1279</v>
      </c>
      <c r="B124" s="0" t="s">
        <v>3384</v>
      </c>
      <c r="C124" s="0" t="n">
        <v>404</v>
      </c>
      <c r="D124" s="0" t="s">
        <v>3383</v>
      </c>
      <c r="E124" s="0" t="n">
        <v>404</v>
      </c>
      <c r="H124" s="3" t="b">
        <f aca="false">ISNUMBER(MATCH(F124,'globales-sys'!F:F, 0))</f>
        <v>0</v>
      </c>
      <c r="I124" s="1" t="str">
        <f aca="false">IFERROR(INDEX('globales-sys'!G:G, MATCH(F124,'globales-sys'!F:F, 0)), "")</f>
        <v/>
      </c>
      <c r="J124" s="3" t="b">
        <f aca="false">ISNUMBER(MATCH(F124,'globales-baas'!F:F, 0))</f>
        <v>0</v>
      </c>
      <c r="K124" s="1" t="str">
        <f aca="false">IFERROR(INDEX('globales-baas'!G:G, MATCH(F124,'globales-baas'!F:F, 0)), "")</f>
        <v/>
      </c>
      <c r="L124" s="3" t="b">
        <f aca="false">ISNUMBER(MATCH(F124,'globales-bff'!F:F, 0))</f>
        <v>0</v>
      </c>
      <c r="M124" s="1" t="str">
        <f aca="false">IFERROR(INDEX('globales-bff'!G:G, MATCH(F124,'globales-bff'!F:F, 0)), "")</f>
        <v/>
      </c>
    </row>
    <row r="125" customFormat="false" ht="12.8" hidden="false" customHeight="false" outlineLevel="0" collapsed="false">
      <c r="A125" s="0" t="s">
        <v>849</v>
      </c>
      <c r="B125" s="0" t="s">
        <v>3385</v>
      </c>
      <c r="C125" s="0" t="n">
        <v>200</v>
      </c>
      <c r="D125" s="0" t="s">
        <v>3386</v>
      </c>
      <c r="E125" s="0" t="s">
        <v>3176</v>
      </c>
      <c r="F125" s="0" t="s">
        <v>3196</v>
      </c>
      <c r="G125" s="0" t="s">
        <v>3197</v>
      </c>
      <c r="H125" s="3" t="b">
        <f aca="false">ISNUMBER(MATCH(F125,'globales-sys'!F:F, 0))</f>
        <v>0</v>
      </c>
      <c r="I125" s="1" t="str">
        <f aca="false">IFERROR(INDEX('globales-sys'!G:G, MATCH(F125,'globales-sys'!F:F, 0)), "")</f>
        <v/>
      </c>
      <c r="J125" s="3" t="b">
        <f aca="false">ISNUMBER(MATCH(F125,'globales-baas'!F:F, 0))</f>
        <v>0</v>
      </c>
      <c r="K125" s="1" t="str">
        <f aca="false">IFERROR(INDEX('globales-baas'!G:G, MATCH(F125,'globales-baas'!F:F, 0)), "")</f>
        <v/>
      </c>
      <c r="L125" s="3" t="b">
        <f aca="false">ISNUMBER(MATCH(F125,'globales-bff'!F:F, 0))</f>
        <v>0</v>
      </c>
      <c r="M125" s="1" t="str">
        <f aca="false">IFERROR(INDEX('globales-bff'!G:G, MATCH(F125,'globales-bff'!F:F, 0)), "")</f>
        <v/>
      </c>
    </row>
    <row r="126" customFormat="false" ht="12.8" hidden="false" customHeight="false" outlineLevel="0" collapsed="false">
      <c r="A126" s="0" t="s">
        <v>849</v>
      </c>
      <c r="B126" s="0" t="s">
        <v>3385</v>
      </c>
      <c r="C126" s="0" t="n">
        <v>200</v>
      </c>
      <c r="D126" s="0" t="s">
        <v>3386</v>
      </c>
      <c r="E126" s="0" t="s">
        <v>3176</v>
      </c>
      <c r="F126" s="0" t="s">
        <v>3198</v>
      </c>
      <c r="G126" s="0" t="s">
        <v>3199</v>
      </c>
      <c r="H126" s="3" t="b">
        <f aca="false">ISNUMBER(MATCH(F126,'globales-sys'!F:F, 0))</f>
        <v>1</v>
      </c>
      <c r="I126" s="1" t="str">
        <f aca="false">IFERROR(INDEX('globales-sys'!G:G, MATCH(F126,'globales-sys'!F:F, 0)), "")</f>
        <v>https://ms-infra-mainframe-adapter-pro-ns-inf.${PROVIDER_SUFFIX_URL:apps.pro.aws.bancsabadell.com}</v>
      </c>
      <c r="J126" s="3" t="b">
        <f aca="false">ISNUMBER(MATCH(F126,'globales-baas'!F:F, 0))</f>
        <v>0</v>
      </c>
      <c r="K126" s="1" t="str">
        <f aca="false">IFERROR(INDEX('globales-baas'!G:G, MATCH(F126,'globales-baas'!F:F, 0)), "")</f>
        <v/>
      </c>
      <c r="L126" s="3" t="b">
        <f aca="false">ISNUMBER(MATCH(F126,'globales-bff'!F:F, 0))</f>
        <v>0</v>
      </c>
      <c r="M126" s="1" t="str">
        <f aca="false">IFERROR(INDEX('globales-bff'!G:G, MATCH(F126,'globales-bff'!F:F, 0)), "")</f>
        <v/>
      </c>
    </row>
    <row r="127" customFormat="false" ht="12.8" hidden="false" customHeight="false" outlineLevel="0" collapsed="false">
      <c r="A127" s="0" t="s">
        <v>849</v>
      </c>
      <c r="B127" s="0" t="s">
        <v>3385</v>
      </c>
      <c r="C127" s="0" t="n">
        <v>200</v>
      </c>
      <c r="D127" s="0" t="s">
        <v>3386</v>
      </c>
      <c r="E127" s="0" t="s">
        <v>3176</v>
      </c>
      <c r="F127" s="0" t="s">
        <v>3365</v>
      </c>
      <c r="G127" s="0" t="s">
        <v>3387</v>
      </c>
      <c r="H127" s="3" t="b">
        <f aca="false">ISNUMBER(MATCH(F127,'globales-sys'!F:F, 0))</f>
        <v>0</v>
      </c>
      <c r="I127" s="1" t="str">
        <f aca="false">IFERROR(INDEX('globales-sys'!G:G, MATCH(F127,'globales-sys'!F:F, 0)), "")</f>
        <v/>
      </c>
      <c r="J127" s="3" t="b">
        <f aca="false">ISNUMBER(MATCH(F127,'globales-baas'!F:F, 0))</f>
        <v>0</v>
      </c>
      <c r="K127" s="1" t="str">
        <f aca="false">IFERROR(INDEX('globales-baas'!G:G, MATCH(F127,'globales-baas'!F:F, 0)), "")</f>
        <v/>
      </c>
      <c r="L127" s="3" t="b">
        <f aca="false">ISNUMBER(MATCH(F127,'globales-bff'!F:F, 0))</f>
        <v>0</v>
      </c>
      <c r="M127" s="1" t="str">
        <f aca="false">IFERROR(INDEX('globales-bff'!G:G, MATCH(F127,'globales-bff'!F:F, 0)), "")</f>
        <v/>
      </c>
    </row>
    <row r="128" customFormat="false" ht="12.8" hidden="false" customHeight="false" outlineLevel="0" collapsed="false">
      <c r="A128" s="0" t="s">
        <v>2237</v>
      </c>
      <c r="B128" s="0" t="s">
        <v>3388</v>
      </c>
      <c r="C128" s="0" t="n">
        <v>200</v>
      </c>
      <c r="D128" s="0" t="s">
        <v>3256</v>
      </c>
      <c r="E128" s="0" t="s">
        <v>3176</v>
      </c>
      <c r="F128" s="0" t="s">
        <v>3196</v>
      </c>
      <c r="G128" s="0" t="s">
        <v>3197</v>
      </c>
      <c r="H128" s="3" t="b">
        <f aca="false">ISNUMBER(MATCH(F128,'globales-sys'!F:F, 0))</f>
        <v>0</v>
      </c>
      <c r="I128" s="1" t="str">
        <f aca="false">IFERROR(INDEX('globales-sys'!G:G, MATCH(F128,'globales-sys'!F:F, 0)), "")</f>
        <v/>
      </c>
      <c r="J128" s="3" t="b">
        <f aca="false">ISNUMBER(MATCH(F128,'globales-baas'!F:F, 0))</f>
        <v>0</v>
      </c>
      <c r="K128" s="1" t="str">
        <f aca="false">IFERROR(INDEX('globales-baas'!G:G, MATCH(F128,'globales-baas'!F:F, 0)), "")</f>
        <v/>
      </c>
      <c r="L128" s="3" t="b">
        <f aca="false">ISNUMBER(MATCH(F128,'globales-bff'!F:F, 0))</f>
        <v>0</v>
      </c>
      <c r="M128" s="1" t="str">
        <f aca="false">IFERROR(INDEX('globales-bff'!G:G, MATCH(F128,'globales-bff'!F:F, 0)), "")</f>
        <v/>
      </c>
    </row>
    <row r="129" customFormat="false" ht="12.8" hidden="false" customHeight="false" outlineLevel="0" collapsed="false">
      <c r="A129" s="0" t="s">
        <v>2237</v>
      </c>
      <c r="B129" s="0" t="s">
        <v>3388</v>
      </c>
      <c r="C129" s="0" t="n">
        <v>200</v>
      </c>
      <c r="D129" s="0" t="s">
        <v>3256</v>
      </c>
      <c r="E129" s="0" t="s">
        <v>3176</v>
      </c>
      <c r="F129" s="0" t="s">
        <v>3198</v>
      </c>
      <c r="G129" s="0" t="s">
        <v>3199</v>
      </c>
      <c r="H129" s="3" t="b">
        <f aca="false">ISNUMBER(MATCH(F129,'globales-sys'!F:F, 0))</f>
        <v>1</v>
      </c>
      <c r="I129" s="1" t="str">
        <f aca="false">IFERROR(INDEX('globales-sys'!G:G, MATCH(F129,'globales-sys'!F:F, 0)), "")</f>
        <v>https://ms-infra-mainframe-adapter-pro-ns-inf.${PROVIDER_SUFFIX_URL:apps.pro.aws.bancsabadell.com}</v>
      </c>
      <c r="J129" s="3" t="b">
        <f aca="false">ISNUMBER(MATCH(F129,'globales-baas'!F:F, 0))</f>
        <v>0</v>
      </c>
      <c r="K129" s="1" t="str">
        <f aca="false">IFERROR(INDEX('globales-baas'!G:G, MATCH(F129,'globales-baas'!F:F, 0)), "")</f>
        <v/>
      </c>
      <c r="L129" s="3" t="b">
        <f aca="false">ISNUMBER(MATCH(F129,'globales-bff'!F:F, 0))</f>
        <v>0</v>
      </c>
      <c r="M129" s="1" t="str">
        <f aca="false">IFERROR(INDEX('globales-bff'!G:G, MATCH(F129,'globales-bff'!F:F, 0)), "")</f>
        <v/>
      </c>
    </row>
    <row r="130" customFormat="false" ht="12.8" hidden="false" customHeight="false" outlineLevel="0" collapsed="false">
      <c r="A130" s="0" t="s">
        <v>1431</v>
      </c>
      <c r="B130" s="0" t="s">
        <v>3389</v>
      </c>
      <c r="C130" s="0" t="n">
        <v>200</v>
      </c>
      <c r="D130" s="0" t="s">
        <v>3390</v>
      </c>
      <c r="E130" s="0" t="s">
        <v>3176</v>
      </c>
      <c r="F130" s="0" t="s">
        <v>3318</v>
      </c>
      <c r="G130" s="0" t="s">
        <v>3319</v>
      </c>
      <c r="H130" s="3" t="b">
        <f aca="false">ISNUMBER(MATCH(F130,'globales-sys'!F:F, 0))</f>
        <v>1</v>
      </c>
      <c r="I130" s="1" t="str">
        <f aca="false">IFERROR(INDEX('globales-sys'!G:G, MATCH(F130,'globales-sys'!F:F, 0)), "")</f>
        <v>https://ms-infra-security-jwt-pro-ns-inf.${PROVIDER_SUFFIX_URL:apps.pro.aws.bancsabadell.com}/jwt/jwk_uri</v>
      </c>
      <c r="J130" s="3" t="b">
        <f aca="false">ISNUMBER(MATCH(F130,'globales-baas'!F:F, 0))</f>
        <v>1</v>
      </c>
      <c r="K130" s="1" t="str">
        <f aca="false">IFERROR(INDEX('globales-baas'!G:G, MATCH(F130,'globales-baas'!F:F, 0)), "")</f>
        <v>https://ms-infra-security-jwt-pro-ns-inf.${PROVIDER_SUFFIX_URL:apps.pro.aws.bancsabadell.com}/jwt/jwk_uri</v>
      </c>
      <c r="L130" s="3" t="b">
        <f aca="false">ISNUMBER(MATCH(F130,'globales-bff'!F:F, 0))</f>
        <v>1</v>
      </c>
      <c r="M130" s="1" t="str">
        <f aca="false">IFERROR(INDEX('globales-bff'!G:G, MATCH(F130,'globales-bff'!F:F, 0)), "")</f>
        <v>https://ms-infra-security-jwt-pro-ns-inf.${PROVIDER_SUFFIX_URL:apps.pro.aws.bancsabadell.com}/jwt/jwk_uri</v>
      </c>
    </row>
    <row r="131" customFormat="false" ht="12.8" hidden="false" customHeight="false" outlineLevel="0" collapsed="false">
      <c r="A131" s="0" t="s">
        <v>1431</v>
      </c>
      <c r="B131" s="0" t="s">
        <v>3389</v>
      </c>
      <c r="C131" s="0" t="n">
        <v>200</v>
      </c>
      <c r="D131" s="0" t="s">
        <v>3390</v>
      </c>
      <c r="E131" s="0" t="s">
        <v>3176</v>
      </c>
      <c r="F131" s="0" t="s">
        <v>3365</v>
      </c>
      <c r="G131" s="0" t="s">
        <v>3391</v>
      </c>
      <c r="H131" s="3" t="b">
        <f aca="false">ISNUMBER(MATCH(F131,'globales-sys'!F:F, 0))</f>
        <v>0</v>
      </c>
      <c r="I131" s="1" t="str">
        <f aca="false">IFERROR(INDEX('globales-sys'!G:G, MATCH(F131,'globales-sys'!F:F, 0)), "")</f>
        <v/>
      </c>
      <c r="J131" s="3" t="b">
        <f aca="false">ISNUMBER(MATCH(F131,'globales-baas'!F:F, 0))</f>
        <v>0</v>
      </c>
      <c r="K131" s="1" t="str">
        <f aca="false">IFERROR(INDEX('globales-baas'!G:G, MATCH(F131,'globales-baas'!F:F, 0)), "")</f>
        <v/>
      </c>
      <c r="L131" s="3" t="b">
        <f aca="false">ISNUMBER(MATCH(F131,'globales-bff'!F:F, 0))</f>
        <v>0</v>
      </c>
      <c r="M131" s="1" t="str">
        <f aca="false">IFERROR(INDEX('globales-bff'!G:G, MATCH(F131,'globales-bff'!F:F, 0)), "")</f>
        <v/>
      </c>
    </row>
    <row r="132" customFormat="false" ht="12.8" hidden="false" customHeight="false" outlineLevel="0" collapsed="false">
      <c r="A132" s="0" t="s">
        <v>2019</v>
      </c>
      <c r="B132" s="0" t="s">
        <v>3392</v>
      </c>
      <c r="C132" s="0" t="n">
        <v>200</v>
      </c>
      <c r="D132" s="0" t="s">
        <v>3256</v>
      </c>
      <c r="E132" s="0" t="s">
        <v>3176</v>
      </c>
      <c r="F132" s="0" t="s">
        <v>3196</v>
      </c>
      <c r="G132" s="0" t="s">
        <v>3197</v>
      </c>
      <c r="H132" s="3" t="b">
        <f aca="false">ISNUMBER(MATCH(F132,'globales-sys'!F:F, 0))</f>
        <v>0</v>
      </c>
      <c r="I132" s="1" t="str">
        <f aca="false">IFERROR(INDEX('globales-sys'!G:G, MATCH(F132,'globales-sys'!F:F, 0)), "")</f>
        <v/>
      </c>
      <c r="J132" s="3" t="b">
        <f aca="false">ISNUMBER(MATCH(F132,'globales-baas'!F:F, 0))</f>
        <v>0</v>
      </c>
      <c r="K132" s="1" t="str">
        <f aca="false">IFERROR(INDEX('globales-baas'!G:G, MATCH(F132,'globales-baas'!F:F, 0)), "")</f>
        <v/>
      </c>
      <c r="L132" s="3" t="b">
        <f aca="false">ISNUMBER(MATCH(F132,'globales-bff'!F:F, 0))</f>
        <v>0</v>
      </c>
      <c r="M132" s="1" t="str">
        <f aca="false">IFERROR(INDEX('globales-bff'!G:G, MATCH(F132,'globales-bff'!F:F, 0)), "")</f>
        <v/>
      </c>
    </row>
    <row r="133" customFormat="false" ht="12.8" hidden="false" customHeight="false" outlineLevel="0" collapsed="false">
      <c r="A133" s="0" t="s">
        <v>2019</v>
      </c>
      <c r="B133" s="0" t="s">
        <v>3392</v>
      </c>
      <c r="C133" s="0" t="n">
        <v>200</v>
      </c>
      <c r="D133" s="0" t="s">
        <v>3256</v>
      </c>
      <c r="E133" s="0" t="s">
        <v>3176</v>
      </c>
      <c r="F133" s="0" t="s">
        <v>3198</v>
      </c>
      <c r="G133" s="0" t="s">
        <v>3199</v>
      </c>
      <c r="H133" s="3" t="b">
        <f aca="false">ISNUMBER(MATCH(F133,'globales-sys'!F:F, 0))</f>
        <v>1</v>
      </c>
      <c r="I133" s="1" t="str">
        <f aca="false">IFERROR(INDEX('globales-sys'!G:G, MATCH(F133,'globales-sys'!F:F, 0)), "")</f>
        <v>https://ms-infra-mainframe-adapter-pro-ns-inf.${PROVIDER_SUFFIX_URL:apps.pro.aws.bancsabadell.com}</v>
      </c>
      <c r="J133" s="3" t="b">
        <f aca="false">ISNUMBER(MATCH(F133,'globales-baas'!F:F, 0))</f>
        <v>0</v>
      </c>
      <c r="K133" s="1" t="str">
        <f aca="false">IFERROR(INDEX('globales-baas'!G:G, MATCH(F133,'globales-baas'!F:F, 0)), "")</f>
        <v/>
      </c>
      <c r="L133" s="3" t="b">
        <f aca="false">ISNUMBER(MATCH(F133,'globales-bff'!F:F, 0))</f>
        <v>0</v>
      </c>
      <c r="M133" s="1" t="str">
        <f aca="false">IFERROR(INDEX('globales-bff'!G:G, MATCH(F133,'globales-bff'!F:F, 0)), "")</f>
        <v/>
      </c>
    </row>
    <row r="134" customFormat="false" ht="12.8" hidden="false" customHeight="false" outlineLevel="0" collapsed="false">
      <c r="A134" s="0" t="s">
        <v>2019</v>
      </c>
      <c r="B134" s="0" t="s">
        <v>3392</v>
      </c>
      <c r="C134" s="0" t="n">
        <v>200</v>
      </c>
      <c r="D134" s="0" t="s">
        <v>3256</v>
      </c>
      <c r="E134" s="0" t="s">
        <v>3176</v>
      </c>
      <c r="F134" s="0" t="s">
        <v>3196</v>
      </c>
      <c r="G134" s="0" t="s">
        <v>3197</v>
      </c>
      <c r="H134" s="3" t="b">
        <f aca="false">ISNUMBER(MATCH(F134,'globales-sys'!F:F, 0))</f>
        <v>0</v>
      </c>
      <c r="I134" s="1" t="str">
        <f aca="false">IFERROR(INDEX('globales-sys'!G:G, MATCH(F134,'globales-sys'!F:F, 0)), "")</f>
        <v/>
      </c>
      <c r="J134" s="3" t="b">
        <f aca="false">ISNUMBER(MATCH(F134,'globales-baas'!F:F, 0))</f>
        <v>0</v>
      </c>
      <c r="K134" s="1" t="str">
        <f aca="false">IFERROR(INDEX('globales-baas'!G:G, MATCH(F134,'globales-baas'!F:F, 0)), "")</f>
        <v/>
      </c>
      <c r="L134" s="3" t="b">
        <f aca="false">ISNUMBER(MATCH(F134,'globales-bff'!F:F, 0))</f>
        <v>0</v>
      </c>
      <c r="M134" s="1" t="str">
        <f aca="false">IFERROR(INDEX('globales-bff'!G:G, MATCH(F134,'globales-bff'!F:F, 0)), "")</f>
        <v/>
      </c>
    </row>
    <row r="135" customFormat="false" ht="12.8" hidden="false" customHeight="false" outlineLevel="0" collapsed="false">
      <c r="A135" s="0" t="s">
        <v>2019</v>
      </c>
      <c r="B135" s="0" t="s">
        <v>3392</v>
      </c>
      <c r="C135" s="0" t="n">
        <v>200</v>
      </c>
      <c r="D135" s="0" t="s">
        <v>3256</v>
      </c>
      <c r="E135" s="0" t="s">
        <v>3176</v>
      </c>
      <c r="F135" s="0" t="s">
        <v>3198</v>
      </c>
      <c r="G135" s="0" t="s">
        <v>3199</v>
      </c>
      <c r="H135" s="3" t="b">
        <f aca="false">ISNUMBER(MATCH(F135,'globales-sys'!F:F, 0))</f>
        <v>1</v>
      </c>
      <c r="I135" s="1" t="str">
        <f aca="false">IFERROR(INDEX('globales-sys'!G:G, MATCH(F135,'globales-sys'!F:F, 0)), "")</f>
        <v>https://ms-infra-mainframe-adapter-pro-ns-inf.${PROVIDER_SUFFIX_URL:apps.pro.aws.bancsabadell.com}</v>
      </c>
      <c r="J135" s="3" t="b">
        <f aca="false">ISNUMBER(MATCH(F135,'globales-baas'!F:F, 0))</f>
        <v>0</v>
      </c>
      <c r="K135" s="1" t="str">
        <f aca="false">IFERROR(INDEX('globales-baas'!G:G, MATCH(F135,'globales-baas'!F:F, 0)), "")</f>
        <v/>
      </c>
      <c r="L135" s="3" t="b">
        <f aca="false">ISNUMBER(MATCH(F135,'globales-bff'!F:F, 0))</f>
        <v>0</v>
      </c>
      <c r="M135" s="1" t="str">
        <f aca="false">IFERROR(INDEX('globales-bff'!G:G, MATCH(F135,'globales-bff'!F:F, 0)), "")</f>
        <v/>
      </c>
    </row>
    <row r="136" customFormat="false" ht="12.8" hidden="false" customHeight="false" outlineLevel="0" collapsed="false">
      <c r="A136" s="0" t="s">
        <v>1231</v>
      </c>
      <c r="B136" s="0" t="s">
        <v>3393</v>
      </c>
      <c r="C136" s="0" t="n">
        <v>404</v>
      </c>
      <c r="D136" s="0" t="s">
        <v>3377</v>
      </c>
      <c r="E136" s="0" t="n">
        <v>404</v>
      </c>
      <c r="H136" s="3" t="b">
        <f aca="false">ISNUMBER(MATCH(F136,'globales-sys'!F:F, 0))</f>
        <v>0</v>
      </c>
      <c r="I136" s="1" t="str">
        <f aca="false">IFERROR(INDEX('globales-sys'!G:G, MATCH(F136,'globales-sys'!F:F, 0)), "")</f>
        <v/>
      </c>
      <c r="J136" s="3" t="b">
        <f aca="false">ISNUMBER(MATCH(F136,'globales-baas'!F:F, 0))</f>
        <v>0</v>
      </c>
      <c r="K136" s="1" t="str">
        <f aca="false">IFERROR(INDEX('globales-baas'!G:G, MATCH(F136,'globales-baas'!F:F, 0)), "")</f>
        <v/>
      </c>
      <c r="L136" s="3" t="b">
        <f aca="false">ISNUMBER(MATCH(F136,'globales-bff'!F:F, 0))</f>
        <v>0</v>
      </c>
      <c r="M136" s="1" t="str">
        <f aca="false">IFERROR(INDEX('globales-bff'!G:G, MATCH(F136,'globales-bff'!F:F, 0)), "")</f>
        <v/>
      </c>
    </row>
    <row r="137" customFormat="false" ht="12.8" hidden="false" customHeight="false" outlineLevel="0" collapsed="false">
      <c r="A137" s="0" t="s">
        <v>2362</v>
      </c>
      <c r="B137" s="0" t="s">
        <v>3394</v>
      </c>
      <c r="C137" s="0" t="n">
        <v>200</v>
      </c>
      <c r="D137" s="0" t="s">
        <v>3173</v>
      </c>
      <c r="E137" s="0" t="s">
        <v>3176</v>
      </c>
      <c r="F137" s="0" t="s">
        <v>3196</v>
      </c>
      <c r="G137" s="0" t="s">
        <v>3197</v>
      </c>
      <c r="H137" s="3" t="b">
        <f aca="false">ISNUMBER(MATCH(F137,'globales-sys'!F:F, 0))</f>
        <v>0</v>
      </c>
      <c r="I137" s="1" t="str">
        <f aca="false">IFERROR(INDEX('globales-sys'!G:G, MATCH(F137,'globales-sys'!F:F, 0)), "")</f>
        <v/>
      </c>
      <c r="J137" s="3" t="b">
        <f aca="false">ISNUMBER(MATCH(F137,'globales-baas'!F:F, 0))</f>
        <v>0</v>
      </c>
      <c r="K137" s="1" t="str">
        <f aca="false">IFERROR(INDEX('globales-baas'!G:G, MATCH(F137,'globales-baas'!F:F, 0)), "")</f>
        <v/>
      </c>
      <c r="L137" s="3" t="b">
        <f aca="false">ISNUMBER(MATCH(F137,'globales-bff'!F:F, 0))</f>
        <v>0</v>
      </c>
      <c r="M137" s="1" t="str">
        <f aca="false">IFERROR(INDEX('globales-bff'!G:G, MATCH(F137,'globales-bff'!F:F, 0)), "")</f>
        <v/>
      </c>
    </row>
    <row r="138" customFormat="false" ht="12.8" hidden="false" customHeight="false" outlineLevel="0" collapsed="false">
      <c r="A138" s="0" t="s">
        <v>2362</v>
      </c>
      <c r="B138" s="0" t="s">
        <v>3394</v>
      </c>
      <c r="C138" s="0" t="n">
        <v>200</v>
      </c>
      <c r="D138" s="0" t="s">
        <v>3173</v>
      </c>
      <c r="E138" s="0" t="s">
        <v>3176</v>
      </c>
      <c r="F138" s="0" t="s">
        <v>3198</v>
      </c>
      <c r="G138" s="0" t="s">
        <v>3199</v>
      </c>
      <c r="H138" s="3" t="b">
        <f aca="false">ISNUMBER(MATCH(F138,'globales-sys'!F:F, 0))</f>
        <v>1</v>
      </c>
      <c r="I138" s="1" t="str">
        <f aca="false">IFERROR(INDEX('globales-sys'!G:G, MATCH(F138,'globales-sys'!F:F, 0)), "")</f>
        <v>https://ms-infra-mainframe-adapter-pro-ns-inf.${PROVIDER_SUFFIX_URL:apps.pro.aws.bancsabadell.com}</v>
      </c>
      <c r="J138" s="3" t="b">
        <f aca="false">ISNUMBER(MATCH(F138,'globales-baas'!F:F, 0))</f>
        <v>0</v>
      </c>
      <c r="K138" s="1" t="str">
        <f aca="false">IFERROR(INDEX('globales-baas'!G:G, MATCH(F138,'globales-baas'!F:F, 0)), "")</f>
        <v/>
      </c>
      <c r="L138" s="3" t="b">
        <f aca="false">ISNUMBER(MATCH(F138,'globales-bff'!F:F, 0))</f>
        <v>0</v>
      </c>
      <c r="M138" s="1" t="str">
        <f aca="false">IFERROR(INDEX('globales-bff'!G:G, MATCH(F138,'globales-bff'!F:F, 0)), "")</f>
        <v/>
      </c>
    </row>
    <row r="139" customFormat="false" ht="12.8" hidden="false" customHeight="false" outlineLevel="0" collapsed="false">
      <c r="A139" s="0" t="s">
        <v>1644</v>
      </c>
      <c r="B139" s="0" t="s">
        <v>3395</v>
      </c>
      <c r="C139" s="0" t="n">
        <v>200</v>
      </c>
      <c r="D139" s="0" t="s">
        <v>3219</v>
      </c>
      <c r="E139" s="0" t="s">
        <v>3176</v>
      </c>
      <c r="F139" s="0" t="s">
        <v>3196</v>
      </c>
      <c r="G139" s="0" t="s">
        <v>3197</v>
      </c>
      <c r="H139" s="3" t="b">
        <f aca="false">ISNUMBER(MATCH(F139,'globales-sys'!F:F, 0))</f>
        <v>0</v>
      </c>
      <c r="I139" s="1" t="str">
        <f aca="false">IFERROR(INDEX('globales-sys'!G:G, MATCH(F139,'globales-sys'!F:F, 0)), "")</f>
        <v/>
      </c>
      <c r="J139" s="3" t="b">
        <f aca="false">ISNUMBER(MATCH(F139,'globales-baas'!F:F, 0))</f>
        <v>0</v>
      </c>
      <c r="K139" s="1" t="str">
        <f aca="false">IFERROR(INDEX('globales-baas'!G:G, MATCH(F139,'globales-baas'!F:F, 0)), "")</f>
        <v/>
      </c>
      <c r="L139" s="3" t="b">
        <f aca="false">ISNUMBER(MATCH(F139,'globales-bff'!F:F, 0))</f>
        <v>0</v>
      </c>
      <c r="M139" s="1" t="str">
        <f aca="false">IFERROR(INDEX('globales-bff'!G:G, MATCH(F139,'globales-bff'!F:F, 0)), "")</f>
        <v/>
      </c>
    </row>
    <row r="140" customFormat="false" ht="12.8" hidden="false" customHeight="false" outlineLevel="0" collapsed="false">
      <c r="A140" s="0" t="s">
        <v>1644</v>
      </c>
      <c r="B140" s="0" t="s">
        <v>3395</v>
      </c>
      <c r="C140" s="0" t="n">
        <v>200</v>
      </c>
      <c r="D140" s="0" t="s">
        <v>3219</v>
      </c>
      <c r="E140" s="0" t="s">
        <v>3176</v>
      </c>
      <c r="F140" s="0" t="s">
        <v>3198</v>
      </c>
      <c r="G140" s="0" t="s">
        <v>3199</v>
      </c>
      <c r="H140" s="3" t="b">
        <f aca="false">ISNUMBER(MATCH(F140,'globales-sys'!F:F, 0))</f>
        <v>1</v>
      </c>
      <c r="I140" s="1" t="str">
        <f aca="false">IFERROR(INDEX('globales-sys'!G:G, MATCH(F140,'globales-sys'!F:F, 0)), "")</f>
        <v>https://ms-infra-mainframe-adapter-pro-ns-inf.${PROVIDER_SUFFIX_URL:apps.pro.aws.bancsabadell.com}</v>
      </c>
      <c r="J140" s="3" t="b">
        <f aca="false">ISNUMBER(MATCH(F140,'globales-baas'!F:F, 0))</f>
        <v>0</v>
      </c>
      <c r="K140" s="1" t="str">
        <f aca="false">IFERROR(INDEX('globales-baas'!G:G, MATCH(F140,'globales-baas'!F:F, 0)), "")</f>
        <v/>
      </c>
      <c r="L140" s="3" t="b">
        <f aca="false">ISNUMBER(MATCH(F140,'globales-bff'!F:F, 0))</f>
        <v>0</v>
      </c>
      <c r="M140" s="1" t="str">
        <f aca="false">IFERROR(INDEX('globales-bff'!G:G, MATCH(F140,'globales-bff'!F:F, 0)), "")</f>
        <v/>
      </c>
    </row>
    <row r="141" customFormat="false" ht="12.8" hidden="false" customHeight="false" outlineLevel="0" collapsed="false">
      <c r="A141" s="0" t="s">
        <v>2947</v>
      </c>
      <c r="B141" s="0" t="s">
        <v>3396</v>
      </c>
      <c r="C141" s="0" t="n">
        <v>200</v>
      </c>
      <c r="D141" s="0" t="s">
        <v>3397</v>
      </c>
      <c r="E141" s="0" t="s">
        <v>3176</v>
      </c>
      <c r="F141" s="0" t="s">
        <v>3398</v>
      </c>
      <c r="G141" s="0" t="s">
        <v>3265</v>
      </c>
      <c r="H141" s="3" t="b">
        <f aca="false">ISNUMBER(MATCH(F141,'globales-sys'!F:F, 0))</f>
        <v>0</v>
      </c>
      <c r="I141" s="1" t="str">
        <f aca="false">IFERROR(INDEX('globales-sys'!G:G, MATCH(F141,'globales-sys'!F:F, 0)), "")</f>
        <v/>
      </c>
      <c r="J141" s="3" t="b">
        <f aca="false">ISNUMBER(MATCH(F141,'globales-baas'!F:F, 0))</f>
        <v>0</v>
      </c>
      <c r="K141" s="1" t="str">
        <f aca="false">IFERROR(INDEX('globales-baas'!G:G, MATCH(F141,'globales-baas'!F:F, 0)), "")</f>
        <v/>
      </c>
      <c r="L141" s="3" t="b">
        <f aca="false">ISNUMBER(MATCH(F141,'globales-bff'!F:F, 0))</f>
        <v>0</v>
      </c>
      <c r="M141" s="1" t="str">
        <f aca="false">IFERROR(INDEX('globales-bff'!G:G, MATCH(F141,'globales-bff'!F:F, 0)), "")</f>
        <v/>
      </c>
    </row>
    <row r="142" customFormat="false" ht="12.8" hidden="false" customHeight="false" outlineLevel="0" collapsed="false">
      <c r="A142" s="0" t="s">
        <v>2947</v>
      </c>
      <c r="B142" s="0" t="s">
        <v>3396</v>
      </c>
      <c r="C142" s="0" t="n">
        <v>200</v>
      </c>
      <c r="D142" s="0" t="s">
        <v>3397</v>
      </c>
      <c r="E142" s="0" t="s">
        <v>3176</v>
      </c>
      <c r="F142" s="0" t="s">
        <v>3177</v>
      </c>
      <c r="G142" s="0" t="s">
        <v>3399</v>
      </c>
      <c r="H142" s="3" t="b">
        <f aca="false">ISNUMBER(MATCH(F142,'globales-sys'!F:F, 0))</f>
        <v>0</v>
      </c>
      <c r="I142" s="1" t="str">
        <f aca="false">IFERROR(INDEX('globales-sys'!G:G, MATCH(F142,'globales-sys'!F:F, 0)), "")</f>
        <v/>
      </c>
      <c r="J142" s="3" t="b">
        <f aca="false">ISNUMBER(MATCH(F142,'globales-baas'!F:F, 0))</f>
        <v>0</v>
      </c>
      <c r="K142" s="1" t="str">
        <f aca="false">IFERROR(INDEX('globales-baas'!G:G, MATCH(F142,'globales-baas'!F:F, 0)), "")</f>
        <v/>
      </c>
      <c r="L142" s="3" t="b">
        <f aca="false">ISNUMBER(MATCH(F142,'globales-bff'!F:F, 0))</f>
        <v>0</v>
      </c>
      <c r="M142" s="1" t="str">
        <f aca="false">IFERROR(INDEX('globales-bff'!G:G, MATCH(F142,'globales-bff'!F:F, 0)), "")</f>
        <v/>
      </c>
    </row>
    <row r="143" customFormat="false" ht="12.8" hidden="false" customHeight="false" outlineLevel="0" collapsed="false">
      <c r="A143" s="0" t="s">
        <v>2947</v>
      </c>
      <c r="B143" s="0" t="s">
        <v>3396</v>
      </c>
      <c r="C143" s="0" t="n">
        <v>200</v>
      </c>
      <c r="D143" s="0" t="s">
        <v>3397</v>
      </c>
      <c r="E143" s="0" t="s">
        <v>3176</v>
      </c>
      <c r="F143" s="0" t="s">
        <v>3179</v>
      </c>
      <c r="G143" s="0" t="s">
        <v>3400</v>
      </c>
      <c r="H143" s="3" t="b">
        <f aca="false">ISNUMBER(MATCH(F143,'globales-sys'!F:F, 0))</f>
        <v>0</v>
      </c>
      <c r="I143" s="1" t="str">
        <f aca="false">IFERROR(INDEX('globales-sys'!G:G, MATCH(F143,'globales-sys'!F:F, 0)), "")</f>
        <v/>
      </c>
      <c r="J143" s="3" t="b">
        <f aca="false">ISNUMBER(MATCH(F143,'globales-baas'!F:F, 0))</f>
        <v>0</v>
      </c>
      <c r="K143" s="1" t="str">
        <f aca="false">IFERROR(INDEX('globales-baas'!G:G, MATCH(F143,'globales-baas'!F:F, 0)), "")</f>
        <v/>
      </c>
      <c r="L143" s="3" t="b">
        <f aca="false">ISNUMBER(MATCH(F143,'globales-bff'!F:F, 0))</f>
        <v>0</v>
      </c>
      <c r="M143" s="1" t="str">
        <f aca="false">IFERROR(INDEX('globales-bff'!G:G, MATCH(F143,'globales-bff'!F:F, 0)), "")</f>
        <v/>
      </c>
    </row>
    <row r="144" customFormat="false" ht="12.8" hidden="false" customHeight="false" outlineLevel="0" collapsed="false">
      <c r="A144" s="0" t="s">
        <v>2947</v>
      </c>
      <c r="B144" s="0" t="s">
        <v>3396</v>
      </c>
      <c r="C144" s="0" t="n">
        <v>200</v>
      </c>
      <c r="D144" s="0" t="s">
        <v>3397</v>
      </c>
      <c r="E144" s="0" t="s">
        <v>3176</v>
      </c>
      <c r="F144" s="0" t="s">
        <v>3181</v>
      </c>
      <c r="G144" s="0" t="s">
        <v>3401</v>
      </c>
      <c r="H144" s="3" t="b">
        <f aca="false">ISNUMBER(MATCH(F144,'globales-sys'!F:F, 0))</f>
        <v>0</v>
      </c>
      <c r="I144" s="1" t="str">
        <f aca="false">IFERROR(INDEX('globales-sys'!G:G, MATCH(F144,'globales-sys'!F:F, 0)), "")</f>
        <v/>
      </c>
      <c r="J144" s="3" t="b">
        <f aca="false">ISNUMBER(MATCH(F144,'globales-baas'!F:F, 0))</f>
        <v>0</v>
      </c>
      <c r="K144" s="1" t="str">
        <f aca="false">IFERROR(INDEX('globales-baas'!G:G, MATCH(F144,'globales-baas'!F:F, 0)), "")</f>
        <v/>
      </c>
      <c r="L144" s="3" t="b">
        <f aca="false">ISNUMBER(MATCH(F144,'globales-bff'!F:F, 0))</f>
        <v>0</v>
      </c>
      <c r="M144" s="1" t="str">
        <f aca="false">IFERROR(INDEX('globales-bff'!G:G, MATCH(F144,'globales-bff'!F:F, 0)), "")</f>
        <v/>
      </c>
    </row>
    <row r="145" customFormat="false" ht="12.8" hidden="false" customHeight="false" outlineLevel="0" collapsed="false">
      <c r="A145" s="0" t="s">
        <v>2947</v>
      </c>
      <c r="B145" s="0" t="s">
        <v>3396</v>
      </c>
      <c r="C145" s="0" t="n">
        <v>200</v>
      </c>
      <c r="D145" s="0" t="s">
        <v>3397</v>
      </c>
      <c r="E145" s="0" t="s">
        <v>3176</v>
      </c>
      <c r="F145" s="0" t="s">
        <v>3402</v>
      </c>
      <c r="G145" s="0" t="s">
        <v>3403</v>
      </c>
      <c r="H145" s="3" t="b">
        <f aca="false">ISNUMBER(MATCH(F145,'globales-sys'!F:F, 0))</f>
        <v>0</v>
      </c>
      <c r="I145" s="1" t="str">
        <f aca="false">IFERROR(INDEX('globales-sys'!G:G, MATCH(F145,'globales-sys'!F:F, 0)), "")</f>
        <v/>
      </c>
      <c r="J145" s="3" t="b">
        <f aca="false">ISNUMBER(MATCH(F145,'globales-baas'!F:F, 0))</f>
        <v>0</v>
      </c>
      <c r="K145" s="1" t="str">
        <f aca="false">IFERROR(INDEX('globales-baas'!G:G, MATCH(F145,'globales-baas'!F:F, 0)), "")</f>
        <v/>
      </c>
      <c r="L145" s="3" t="b">
        <f aca="false">ISNUMBER(MATCH(F145,'globales-bff'!F:F, 0))</f>
        <v>0</v>
      </c>
      <c r="M145" s="1" t="str">
        <f aca="false">IFERROR(INDEX('globales-bff'!G:G, MATCH(F145,'globales-bff'!F:F, 0)), "")</f>
        <v/>
      </c>
    </row>
    <row r="146" customFormat="false" ht="12.8" hidden="false" customHeight="false" outlineLevel="0" collapsed="false">
      <c r="A146" s="0" t="s">
        <v>2947</v>
      </c>
      <c r="B146" s="0" t="s">
        <v>3396</v>
      </c>
      <c r="C146" s="0" t="n">
        <v>200</v>
      </c>
      <c r="D146" s="0" t="s">
        <v>3397</v>
      </c>
      <c r="E146" s="0" t="s">
        <v>3176</v>
      </c>
      <c r="F146" s="0" t="s">
        <v>3275</v>
      </c>
      <c r="G146" s="0" t="s">
        <v>3404</v>
      </c>
      <c r="H146" s="3" t="b">
        <f aca="false">ISNUMBER(MATCH(F146,'globales-sys'!F:F, 0))</f>
        <v>0</v>
      </c>
      <c r="I146" s="1" t="str">
        <f aca="false">IFERROR(INDEX('globales-sys'!G:G, MATCH(F146,'globales-sys'!F:F, 0)), "")</f>
        <v/>
      </c>
      <c r="J146" s="3" t="b">
        <f aca="false">ISNUMBER(MATCH(F146,'globales-baas'!F:F, 0))</f>
        <v>0</v>
      </c>
      <c r="K146" s="1" t="str">
        <f aca="false">IFERROR(INDEX('globales-baas'!G:G, MATCH(F146,'globales-baas'!F:F, 0)), "")</f>
        <v/>
      </c>
      <c r="L146" s="3" t="b">
        <f aca="false">ISNUMBER(MATCH(F146,'globales-bff'!F:F, 0))</f>
        <v>0</v>
      </c>
      <c r="M146" s="1" t="str">
        <f aca="false">IFERROR(INDEX('globales-bff'!G:G, MATCH(F146,'globales-bff'!F:F, 0)), "")</f>
        <v/>
      </c>
    </row>
    <row r="147" customFormat="false" ht="12.8" hidden="false" customHeight="false" outlineLevel="0" collapsed="false">
      <c r="A147" s="0" t="s">
        <v>2831</v>
      </c>
      <c r="B147" s="0" t="s">
        <v>3405</v>
      </c>
      <c r="C147" s="0" t="n">
        <v>404</v>
      </c>
      <c r="D147" s="0" t="s">
        <v>3208</v>
      </c>
      <c r="E147" s="0" t="n">
        <v>404</v>
      </c>
      <c r="H147" s="3" t="b">
        <f aca="false">ISNUMBER(MATCH(F147,'globales-sys'!F:F, 0))</f>
        <v>0</v>
      </c>
      <c r="I147" s="1" t="str">
        <f aca="false">IFERROR(INDEX('globales-sys'!G:G, MATCH(F147,'globales-sys'!F:F, 0)), "")</f>
        <v/>
      </c>
      <c r="J147" s="3" t="b">
        <f aca="false">ISNUMBER(MATCH(F147,'globales-baas'!F:F, 0))</f>
        <v>0</v>
      </c>
      <c r="K147" s="1" t="str">
        <f aca="false">IFERROR(INDEX('globales-baas'!G:G, MATCH(F147,'globales-baas'!F:F, 0)), "")</f>
        <v/>
      </c>
      <c r="L147" s="3" t="b">
        <f aca="false">ISNUMBER(MATCH(F147,'globales-bff'!F:F, 0))</f>
        <v>0</v>
      </c>
      <c r="M147" s="1" t="str">
        <f aca="false">IFERROR(INDEX('globales-bff'!G:G, MATCH(F147,'globales-bff'!F:F, 0)), "")</f>
        <v/>
      </c>
    </row>
    <row r="148" customFormat="false" ht="12.8" hidden="false" customHeight="false" outlineLevel="0" collapsed="false">
      <c r="A148" s="0" t="s">
        <v>2696</v>
      </c>
      <c r="B148" s="0" t="s">
        <v>3406</v>
      </c>
      <c r="C148" s="0" t="n">
        <v>404</v>
      </c>
      <c r="D148" s="0" t="s">
        <v>3407</v>
      </c>
      <c r="E148" s="0" t="n">
        <v>404</v>
      </c>
      <c r="H148" s="3" t="b">
        <f aca="false">ISNUMBER(MATCH(F148,'globales-sys'!F:F, 0))</f>
        <v>0</v>
      </c>
      <c r="I148" s="1" t="str">
        <f aca="false">IFERROR(INDEX('globales-sys'!G:G, MATCH(F148,'globales-sys'!F:F, 0)), "")</f>
        <v/>
      </c>
      <c r="J148" s="3" t="b">
        <f aca="false">ISNUMBER(MATCH(F148,'globales-baas'!F:F, 0))</f>
        <v>0</v>
      </c>
      <c r="K148" s="1" t="str">
        <f aca="false">IFERROR(INDEX('globales-baas'!G:G, MATCH(F148,'globales-baas'!F:F, 0)), "")</f>
        <v/>
      </c>
      <c r="L148" s="3" t="b">
        <f aca="false">ISNUMBER(MATCH(F148,'globales-bff'!F:F, 0))</f>
        <v>0</v>
      </c>
      <c r="M148" s="1" t="str">
        <f aca="false">IFERROR(INDEX('globales-bff'!G:G, MATCH(F148,'globales-bff'!F:F, 0)), "")</f>
        <v/>
      </c>
    </row>
    <row r="149" customFormat="false" ht="12.8" hidden="false" customHeight="false" outlineLevel="0" collapsed="false">
      <c r="A149" s="0" t="s">
        <v>3083</v>
      </c>
      <c r="B149" s="0" t="s">
        <v>3408</v>
      </c>
      <c r="C149" s="0" t="n">
        <v>401</v>
      </c>
      <c r="D149" s="0" t="s">
        <v>3409</v>
      </c>
      <c r="E149" s="0" t="n">
        <v>401</v>
      </c>
      <c r="H149" s="3" t="b">
        <f aca="false">ISNUMBER(MATCH(F149,'globales-sys'!F:F, 0))</f>
        <v>0</v>
      </c>
      <c r="I149" s="1" t="str">
        <f aca="false">IFERROR(INDEX('globales-sys'!G:G, MATCH(F149,'globales-sys'!F:F, 0)), "")</f>
        <v/>
      </c>
      <c r="J149" s="3" t="b">
        <f aca="false">ISNUMBER(MATCH(F149,'globales-baas'!F:F, 0))</f>
        <v>0</v>
      </c>
      <c r="K149" s="1" t="str">
        <f aca="false">IFERROR(INDEX('globales-baas'!G:G, MATCH(F149,'globales-baas'!F:F, 0)), "")</f>
        <v/>
      </c>
      <c r="L149" s="3" t="b">
        <f aca="false">ISNUMBER(MATCH(F149,'globales-bff'!F:F, 0))</f>
        <v>0</v>
      </c>
      <c r="M149" s="1" t="str">
        <f aca="false">IFERROR(INDEX('globales-bff'!G:G, MATCH(F149,'globales-bff'!F:F, 0)), "")</f>
        <v/>
      </c>
    </row>
    <row r="150" customFormat="false" ht="12.8" hidden="false" customHeight="false" outlineLevel="0" collapsed="false">
      <c r="A150" s="0" t="s">
        <v>2850</v>
      </c>
      <c r="B150" s="0" t="s">
        <v>3410</v>
      </c>
      <c r="C150" s="0" t="n">
        <v>404</v>
      </c>
      <c r="D150" s="0" t="s">
        <v>3377</v>
      </c>
      <c r="E150" s="0" t="n">
        <v>404</v>
      </c>
      <c r="H150" s="3" t="b">
        <f aca="false">ISNUMBER(MATCH(F150,'globales-sys'!F:F, 0))</f>
        <v>0</v>
      </c>
      <c r="I150" s="1" t="str">
        <f aca="false">IFERROR(INDEX('globales-sys'!G:G, MATCH(F150,'globales-sys'!F:F, 0)), "")</f>
        <v/>
      </c>
      <c r="J150" s="3" t="b">
        <f aca="false">ISNUMBER(MATCH(F150,'globales-baas'!F:F, 0))</f>
        <v>0</v>
      </c>
      <c r="K150" s="1" t="str">
        <f aca="false">IFERROR(INDEX('globales-baas'!G:G, MATCH(F150,'globales-baas'!F:F, 0)), "")</f>
        <v/>
      </c>
      <c r="L150" s="3" t="b">
        <f aca="false">ISNUMBER(MATCH(F150,'globales-bff'!F:F, 0))</f>
        <v>0</v>
      </c>
      <c r="M150" s="1" t="str">
        <f aca="false">IFERROR(INDEX('globales-bff'!G:G, MATCH(F150,'globales-bff'!F:F, 0)), "")</f>
        <v/>
      </c>
    </row>
    <row r="151" customFormat="false" ht="12.8" hidden="false" customHeight="false" outlineLevel="0" collapsed="false">
      <c r="A151" s="0" t="s">
        <v>2031</v>
      </c>
      <c r="B151" s="0" t="s">
        <v>3411</v>
      </c>
      <c r="C151" s="0" t="n">
        <v>404</v>
      </c>
      <c r="D151" s="0" t="s">
        <v>3412</v>
      </c>
      <c r="E151" s="0" t="n">
        <v>404</v>
      </c>
      <c r="H151" s="3" t="b">
        <f aca="false">ISNUMBER(MATCH(F151,'globales-sys'!F:F, 0))</f>
        <v>0</v>
      </c>
      <c r="I151" s="1" t="str">
        <f aca="false">IFERROR(INDEX('globales-sys'!G:G, MATCH(F151,'globales-sys'!F:F, 0)), "")</f>
        <v/>
      </c>
      <c r="J151" s="3" t="b">
        <f aca="false">ISNUMBER(MATCH(F151,'globales-baas'!F:F, 0))</f>
        <v>0</v>
      </c>
      <c r="K151" s="1" t="str">
        <f aca="false">IFERROR(INDEX('globales-baas'!G:G, MATCH(F151,'globales-baas'!F:F, 0)), "")</f>
        <v/>
      </c>
      <c r="L151" s="3" t="b">
        <f aca="false">ISNUMBER(MATCH(F151,'globales-bff'!F:F, 0))</f>
        <v>0</v>
      </c>
      <c r="M151" s="1" t="str">
        <f aca="false">IFERROR(INDEX('globales-bff'!G:G, MATCH(F151,'globales-bff'!F:F, 0)), "")</f>
        <v/>
      </c>
    </row>
    <row r="152" customFormat="false" ht="12.8" hidden="false" customHeight="false" outlineLevel="0" collapsed="false">
      <c r="A152" s="0" t="s">
        <v>1058</v>
      </c>
      <c r="B152" s="0" t="s">
        <v>3413</v>
      </c>
      <c r="C152" s="0" t="n">
        <v>404</v>
      </c>
      <c r="D152" s="0" t="s">
        <v>3286</v>
      </c>
      <c r="E152" s="0" t="n">
        <v>404</v>
      </c>
      <c r="H152" s="3" t="b">
        <f aca="false">ISNUMBER(MATCH(F152,'globales-sys'!F:F, 0))</f>
        <v>0</v>
      </c>
      <c r="I152" s="1" t="str">
        <f aca="false">IFERROR(INDEX('globales-sys'!G:G, MATCH(F152,'globales-sys'!F:F, 0)), "")</f>
        <v/>
      </c>
      <c r="J152" s="3" t="b">
        <f aca="false">ISNUMBER(MATCH(F152,'globales-baas'!F:F, 0))</f>
        <v>0</v>
      </c>
      <c r="K152" s="1" t="str">
        <f aca="false">IFERROR(INDEX('globales-baas'!G:G, MATCH(F152,'globales-baas'!F:F, 0)), "")</f>
        <v/>
      </c>
      <c r="L152" s="3" t="b">
        <f aca="false">ISNUMBER(MATCH(F152,'globales-bff'!F:F, 0))</f>
        <v>0</v>
      </c>
      <c r="M152" s="1" t="str">
        <f aca="false">IFERROR(INDEX('globales-bff'!G:G, MATCH(F152,'globales-bff'!F:F, 0)), "")</f>
        <v/>
      </c>
    </row>
    <row r="153" customFormat="false" ht="12.8" hidden="false" customHeight="false" outlineLevel="0" collapsed="false">
      <c r="A153" s="0" t="s">
        <v>1265</v>
      </c>
      <c r="B153" s="0" t="s">
        <v>3414</v>
      </c>
      <c r="C153" s="0" t="n">
        <v>404</v>
      </c>
      <c r="D153" s="0" t="s">
        <v>3290</v>
      </c>
      <c r="E153" s="0" t="n">
        <v>404</v>
      </c>
      <c r="H153" s="3" t="b">
        <f aca="false">ISNUMBER(MATCH(F153,'globales-sys'!F:F, 0))</f>
        <v>0</v>
      </c>
      <c r="I153" s="1" t="str">
        <f aca="false">IFERROR(INDEX('globales-sys'!G:G, MATCH(F153,'globales-sys'!F:F, 0)), "")</f>
        <v/>
      </c>
      <c r="J153" s="3" t="b">
        <f aca="false">ISNUMBER(MATCH(F153,'globales-baas'!F:F, 0))</f>
        <v>0</v>
      </c>
      <c r="K153" s="1" t="str">
        <f aca="false">IFERROR(INDEX('globales-baas'!G:G, MATCH(F153,'globales-baas'!F:F, 0)), "")</f>
        <v/>
      </c>
      <c r="L153" s="3" t="b">
        <f aca="false">ISNUMBER(MATCH(F153,'globales-bff'!F:F, 0))</f>
        <v>0</v>
      </c>
      <c r="M153" s="1" t="str">
        <f aca="false">IFERROR(INDEX('globales-bff'!G:G, MATCH(F153,'globales-bff'!F:F, 0)), "")</f>
        <v/>
      </c>
    </row>
    <row r="154" customFormat="false" ht="12.8" hidden="false" customHeight="false" outlineLevel="0" collapsed="false">
      <c r="A154" s="0" t="s">
        <v>1993</v>
      </c>
      <c r="B154" s="0" t="s">
        <v>3415</v>
      </c>
      <c r="C154" s="0" t="n">
        <v>404</v>
      </c>
      <c r="D154" s="0" t="s">
        <v>3256</v>
      </c>
      <c r="E154" s="0" t="n">
        <v>404</v>
      </c>
      <c r="H154" s="3" t="b">
        <f aca="false">ISNUMBER(MATCH(F154,'globales-sys'!F:F, 0))</f>
        <v>0</v>
      </c>
      <c r="I154" s="1" t="str">
        <f aca="false">IFERROR(INDEX('globales-sys'!G:G, MATCH(F154,'globales-sys'!F:F, 0)), "")</f>
        <v/>
      </c>
      <c r="J154" s="3" t="b">
        <f aca="false">ISNUMBER(MATCH(F154,'globales-baas'!F:F, 0))</f>
        <v>0</v>
      </c>
      <c r="K154" s="1" t="str">
        <f aca="false">IFERROR(INDEX('globales-baas'!G:G, MATCH(F154,'globales-baas'!F:F, 0)), "")</f>
        <v/>
      </c>
      <c r="L154" s="3" t="b">
        <f aca="false">ISNUMBER(MATCH(F154,'globales-bff'!F:F, 0))</f>
        <v>0</v>
      </c>
      <c r="M154" s="1" t="str">
        <f aca="false">IFERROR(INDEX('globales-bff'!G:G, MATCH(F154,'globales-bff'!F:F, 0)), "")</f>
        <v/>
      </c>
    </row>
    <row r="155" customFormat="false" ht="12.8" hidden="false" customHeight="false" outlineLevel="0" collapsed="false">
      <c r="A155" s="0" t="s">
        <v>1361</v>
      </c>
      <c r="B155" s="0" t="s">
        <v>3416</v>
      </c>
      <c r="C155" s="0" t="n">
        <v>404</v>
      </c>
      <c r="D155" s="0" t="s">
        <v>3417</v>
      </c>
      <c r="E155" s="0" t="n">
        <v>404</v>
      </c>
      <c r="H155" s="3" t="b">
        <f aca="false">ISNUMBER(MATCH(F155,'globales-sys'!F:F, 0))</f>
        <v>0</v>
      </c>
      <c r="I155" s="1" t="str">
        <f aca="false">IFERROR(INDEX('globales-sys'!G:G, MATCH(F155,'globales-sys'!F:F, 0)), "")</f>
        <v/>
      </c>
      <c r="J155" s="3" t="b">
        <f aca="false">ISNUMBER(MATCH(F155,'globales-baas'!F:F, 0))</f>
        <v>0</v>
      </c>
      <c r="K155" s="1" t="str">
        <f aca="false">IFERROR(INDEX('globales-baas'!G:G, MATCH(F155,'globales-baas'!F:F, 0)), "")</f>
        <v/>
      </c>
      <c r="L155" s="3" t="b">
        <f aca="false">ISNUMBER(MATCH(F155,'globales-bff'!F:F, 0))</f>
        <v>0</v>
      </c>
      <c r="M155" s="1" t="str">
        <f aca="false">IFERROR(INDEX('globales-bff'!G:G, MATCH(F155,'globales-bff'!F:F, 0)), "")</f>
        <v/>
      </c>
    </row>
    <row r="156" customFormat="false" ht="12.8" hidden="false" customHeight="false" outlineLevel="0" collapsed="false">
      <c r="A156" s="0" t="s">
        <v>1484</v>
      </c>
      <c r="B156" s="0" t="s">
        <v>3418</v>
      </c>
      <c r="C156" s="0" t="n">
        <v>404</v>
      </c>
      <c r="D156" s="0" t="s">
        <v>3173</v>
      </c>
      <c r="E156" s="0" t="n">
        <v>404</v>
      </c>
      <c r="H156" s="3" t="b">
        <f aca="false">ISNUMBER(MATCH(F156,'globales-sys'!F:F, 0))</f>
        <v>0</v>
      </c>
      <c r="I156" s="1" t="str">
        <f aca="false">IFERROR(INDEX('globales-sys'!G:G, MATCH(F156,'globales-sys'!F:F, 0)), "")</f>
        <v/>
      </c>
      <c r="J156" s="3" t="b">
        <f aca="false">ISNUMBER(MATCH(F156,'globales-baas'!F:F, 0))</f>
        <v>0</v>
      </c>
      <c r="K156" s="1" t="str">
        <f aca="false">IFERROR(INDEX('globales-baas'!G:G, MATCH(F156,'globales-baas'!F:F, 0)), "")</f>
        <v/>
      </c>
      <c r="L156" s="3" t="b">
        <f aca="false">ISNUMBER(MATCH(F156,'globales-bff'!F:F, 0))</f>
        <v>0</v>
      </c>
      <c r="M156" s="1" t="str">
        <f aca="false">IFERROR(INDEX('globales-bff'!G:G, MATCH(F156,'globales-bff'!F:F, 0)), "")</f>
        <v/>
      </c>
    </row>
    <row r="157" customFormat="false" ht="12.8" hidden="false" customHeight="false" outlineLevel="0" collapsed="false">
      <c r="A157" s="0" t="s">
        <v>2167</v>
      </c>
      <c r="B157" s="0" t="s">
        <v>3419</v>
      </c>
      <c r="C157" s="0" t="n">
        <v>404</v>
      </c>
      <c r="D157" s="0" t="s">
        <v>3420</v>
      </c>
      <c r="E157" s="0" t="n">
        <v>404</v>
      </c>
      <c r="H157" s="3" t="b">
        <f aca="false">ISNUMBER(MATCH(F157,'globales-sys'!F:F, 0))</f>
        <v>0</v>
      </c>
      <c r="I157" s="1" t="str">
        <f aca="false">IFERROR(INDEX('globales-sys'!G:G, MATCH(F157,'globales-sys'!F:F, 0)), "")</f>
        <v/>
      </c>
      <c r="J157" s="3" t="b">
        <f aca="false">ISNUMBER(MATCH(F157,'globales-baas'!F:F, 0))</f>
        <v>0</v>
      </c>
      <c r="K157" s="1" t="str">
        <f aca="false">IFERROR(INDEX('globales-baas'!G:G, MATCH(F157,'globales-baas'!F:F, 0)), "")</f>
        <v/>
      </c>
      <c r="L157" s="3" t="b">
        <f aca="false">ISNUMBER(MATCH(F157,'globales-bff'!F:F, 0))</f>
        <v>0</v>
      </c>
      <c r="M157" s="1" t="str">
        <f aca="false">IFERROR(INDEX('globales-bff'!G:G, MATCH(F157,'globales-bff'!F:F, 0)), "")</f>
        <v/>
      </c>
    </row>
    <row r="158" customFormat="false" ht="12.8" hidden="false" customHeight="false" outlineLevel="0" collapsed="false">
      <c r="A158" s="0" t="s">
        <v>1567</v>
      </c>
      <c r="B158" s="0" t="s">
        <v>3421</v>
      </c>
      <c r="C158" s="0" t="n">
        <v>200</v>
      </c>
      <c r="D158" s="0" t="s">
        <v>3175</v>
      </c>
      <c r="E158" s="0" t="s">
        <v>3176</v>
      </c>
      <c r="F158" s="0" t="s">
        <v>3212</v>
      </c>
      <c r="G158" s="0" t="s">
        <v>3271</v>
      </c>
      <c r="H158" s="3" t="b">
        <f aca="false">ISNUMBER(MATCH(F158,'globales-sys'!F:F, 0))</f>
        <v>1</v>
      </c>
      <c r="I158" s="1" t="str">
        <f aca="false">IFERROR(INDEX('globales-sys'!G:G, MATCH(F158,'globales-sys'!F:F, 0)), "")</f>
        <v>https://ms-storage-api-pro-ns-inf.${PROVIDER_SUFFIX_URL:apps.pro.aws.bancsabadell.com}/private-document-library-storage/v1</v>
      </c>
      <c r="J158" s="3" t="b">
        <f aca="false">ISNUMBER(MATCH(F158,'globales-baas'!F:F, 0))</f>
        <v>0</v>
      </c>
      <c r="K158" s="1" t="str">
        <f aca="false">IFERROR(INDEX('globales-baas'!G:G, MATCH(F158,'globales-baas'!F:F, 0)), "")</f>
        <v/>
      </c>
      <c r="L158" s="3" t="b">
        <f aca="false">ISNUMBER(MATCH(F158,'globales-bff'!F:F, 0))</f>
        <v>0</v>
      </c>
      <c r="M158" s="1" t="str">
        <f aca="false">IFERROR(INDEX('globales-bff'!G:G, MATCH(F158,'globales-bff'!F:F, 0)), "")</f>
        <v/>
      </c>
    </row>
    <row r="159" customFormat="false" ht="12.8" hidden="false" customHeight="false" outlineLevel="0" collapsed="false">
      <c r="A159" s="0" t="s">
        <v>1567</v>
      </c>
      <c r="B159" s="0" t="s">
        <v>3421</v>
      </c>
      <c r="C159" s="0" t="n">
        <v>200</v>
      </c>
      <c r="D159" s="0" t="s">
        <v>3175</v>
      </c>
      <c r="E159" s="0" t="s">
        <v>3176</v>
      </c>
      <c r="F159" s="0" t="s">
        <v>3379</v>
      </c>
      <c r="G159" s="0" t="s">
        <v>3380</v>
      </c>
      <c r="H159" s="3" t="b">
        <f aca="false">ISNUMBER(MATCH(F159,'globales-sys'!F:F, 0))</f>
        <v>1</v>
      </c>
      <c r="I159" s="1" t="str">
        <f aca="false">IFERROR(INDEX('globales-sys'!G:G, MATCH(F159,'globales-sys'!F:F, 0)), "")</f>
        <v>https://ms-infra-doc-generator-pro-ns-inf.${PROVIDER_SUFFIX_URL:apps.pro.aws.bancsabadell.com}</v>
      </c>
      <c r="J159" s="3" t="b">
        <f aca="false">ISNUMBER(MATCH(F159,'globales-baas'!F:F, 0))</f>
        <v>0</v>
      </c>
      <c r="K159" s="1" t="str">
        <f aca="false">IFERROR(INDEX('globales-baas'!G:G, MATCH(F159,'globales-baas'!F:F, 0)), "")</f>
        <v/>
      </c>
      <c r="L159" s="3" t="b">
        <f aca="false">ISNUMBER(MATCH(F159,'globales-bff'!F:F, 0))</f>
        <v>0</v>
      </c>
      <c r="M159" s="1" t="str">
        <f aca="false">IFERROR(INDEX('globales-bff'!G:G, MATCH(F159,'globales-bff'!F:F, 0)), "")</f>
        <v/>
      </c>
    </row>
    <row r="160" customFormat="false" ht="12.8" hidden="false" customHeight="false" outlineLevel="0" collapsed="false">
      <c r="A160" s="0" t="s">
        <v>1567</v>
      </c>
      <c r="B160" s="0" t="s">
        <v>3421</v>
      </c>
      <c r="C160" s="0" t="n">
        <v>200</v>
      </c>
      <c r="D160" s="0" t="s">
        <v>3175</v>
      </c>
      <c r="E160" s="0" t="s">
        <v>3176</v>
      </c>
      <c r="F160" s="0" t="s">
        <v>3422</v>
      </c>
      <c r="G160" s="0" t="s">
        <v>3423</v>
      </c>
      <c r="H160" s="3" t="b">
        <f aca="false">ISNUMBER(MATCH(F160,'globales-sys'!F:F, 0))</f>
        <v>1</v>
      </c>
      <c r="I160" s="1" t="str">
        <f aca="false">IFERROR(INDEX('globales-sys'!G:G, MATCH(F160,'globales-sys'!F:F, 0)), "")</f>
        <v>https://ms-sys-generator-api-pro-ns-sys.${PROVIDER_SUFFIX_URL:apps.pro.aws.bancsabadell.com}</v>
      </c>
      <c r="J160" s="3" t="b">
        <f aca="false">ISNUMBER(MATCH(F160,'globales-baas'!F:F, 0))</f>
        <v>0</v>
      </c>
      <c r="K160" s="1" t="str">
        <f aca="false">IFERROR(INDEX('globales-baas'!G:G, MATCH(F160,'globales-baas'!F:F, 0)), "")</f>
        <v/>
      </c>
      <c r="L160" s="3" t="b">
        <f aca="false">ISNUMBER(MATCH(F160,'globales-bff'!F:F, 0))</f>
        <v>0</v>
      </c>
      <c r="M160" s="1" t="str">
        <f aca="false">IFERROR(INDEX('globales-bff'!G:G, MATCH(F160,'globales-bff'!F:F, 0)), "")</f>
        <v/>
      </c>
    </row>
    <row r="161" customFormat="false" ht="12.8" hidden="false" customHeight="false" outlineLevel="0" collapsed="false">
      <c r="A161" s="0" t="s">
        <v>1567</v>
      </c>
      <c r="B161" s="0" t="s">
        <v>3421</v>
      </c>
      <c r="C161" s="0" t="n">
        <v>200</v>
      </c>
      <c r="D161" s="0" t="s">
        <v>3175</v>
      </c>
      <c r="E161" s="0" t="s">
        <v>3176</v>
      </c>
      <c r="F161" s="0" t="s">
        <v>3198</v>
      </c>
      <c r="G161" s="0" t="s">
        <v>3199</v>
      </c>
      <c r="H161" s="3" t="b">
        <f aca="false">ISNUMBER(MATCH(F161,'globales-sys'!F:F, 0))</f>
        <v>1</v>
      </c>
      <c r="I161" s="1" t="str">
        <f aca="false">IFERROR(INDEX('globales-sys'!G:G, MATCH(F161,'globales-sys'!F:F, 0)), "")</f>
        <v>https://ms-infra-mainframe-adapter-pro-ns-inf.${PROVIDER_SUFFIX_URL:apps.pro.aws.bancsabadell.com}</v>
      </c>
      <c r="J161" s="3" t="b">
        <f aca="false">ISNUMBER(MATCH(F161,'globales-baas'!F:F, 0))</f>
        <v>0</v>
      </c>
      <c r="K161" s="1" t="str">
        <f aca="false">IFERROR(INDEX('globales-baas'!G:G, MATCH(F161,'globales-baas'!F:F, 0)), "")</f>
        <v/>
      </c>
      <c r="L161" s="3" t="b">
        <f aca="false">ISNUMBER(MATCH(F161,'globales-bff'!F:F, 0))</f>
        <v>0</v>
      </c>
      <c r="M161" s="1" t="str">
        <f aca="false">IFERROR(INDEX('globales-bff'!G:G, MATCH(F161,'globales-bff'!F:F, 0)), "")</f>
        <v/>
      </c>
    </row>
    <row r="162" customFormat="false" ht="12.8" hidden="false" customHeight="false" outlineLevel="0" collapsed="false">
      <c r="A162" s="0" t="s">
        <v>1678</v>
      </c>
      <c r="B162" s="0" t="s">
        <v>3424</v>
      </c>
      <c r="C162" s="0" t="n">
        <v>404</v>
      </c>
      <c r="D162" s="0" t="s">
        <v>3377</v>
      </c>
      <c r="E162" s="0" t="n">
        <v>404</v>
      </c>
      <c r="H162" s="3" t="b">
        <f aca="false">ISNUMBER(MATCH(F162,'globales-sys'!F:F, 0))</f>
        <v>0</v>
      </c>
      <c r="I162" s="1" t="str">
        <f aca="false">IFERROR(INDEX('globales-sys'!G:G, MATCH(F162,'globales-sys'!F:F, 0)), "")</f>
        <v/>
      </c>
      <c r="J162" s="3" t="b">
        <f aca="false">ISNUMBER(MATCH(F162,'globales-baas'!F:F, 0))</f>
        <v>0</v>
      </c>
      <c r="K162" s="1" t="str">
        <f aca="false">IFERROR(INDEX('globales-baas'!G:G, MATCH(F162,'globales-baas'!F:F, 0)), "")</f>
        <v/>
      </c>
      <c r="L162" s="3" t="b">
        <f aca="false">ISNUMBER(MATCH(F162,'globales-bff'!F:F, 0))</f>
        <v>0</v>
      </c>
      <c r="M162" s="1" t="str">
        <f aca="false">IFERROR(INDEX('globales-bff'!G:G, MATCH(F162,'globales-bff'!F:F, 0)), "")</f>
        <v/>
      </c>
    </row>
    <row r="163" customFormat="false" ht="12.8" hidden="false" customHeight="false" outlineLevel="0" collapsed="false">
      <c r="A163" s="0" t="s">
        <v>1030</v>
      </c>
      <c r="B163" s="0" t="s">
        <v>3425</v>
      </c>
      <c r="C163" s="0" t="n">
        <v>404</v>
      </c>
      <c r="D163" s="0" t="s">
        <v>3256</v>
      </c>
      <c r="E163" s="0" t="n">
        <v>404</v>
      </c>
      <c r="H163" s="3" t="b">
        <f aca="false">ISNUMBER(MATCH(F163,'globales-sys'!F:F, 0))</f>
        <v>0</v>
      </c>
      <c r="I163" s="1" t="str">
        <f aca="false">IFERROR(INDEX('globales-sys'!G:G, MATCH(F163,'globales-sys'!F:F, 0)), "")</f>
        <v/>
      </c>
      <c r="J163" s="3" t="b">
        <f aca="false">ISNUMBER(MATCH(F163,'globales-baas'!F:F, 0))</f>
        <v>0</v>
      </c>
      <c r="K163" s="1" t="str">
        <f aca="false">IFERROR(INDEX('globales-baas'!G:G, MATCH(F163,'globales-baas'!F:F, 0)), "")</f>
        <v/>
      </c>
      <c r="L163" s="3" t="b">
        <f aca="false">ISNUMBER(MATCH(F163,'globales-bff'!F:F, 0))</f>
        <v>0</v>
      </c>
      <c r="M163" s="1" t="str">
        <f aca="false">IFERROR(INDEX('globales-bff'!G:G, MATCH(F163,'globales-bff'!F:F, 0)), "")</f>
        <v/>
      </c>
    </row>
    <row r="164" customFormat="false" ht="12.8" hidden="false" customHeight="false" outlineLevel="0" collapsed="false">
      <c r="A164" s="0" t="s">
        <v>1929</v>
      </c>
      <c r="B164" s="0" t="s">
        <v>3426</v>
      </c>
      <c r="C164" s="0" t="n">
        <v>404</v>
      </c>
      <c r="D164" s="0" t="s">
        <v>3427</v>
      </c>
      <c r="E164" s="0" t="n">
        <v>404</v>
      </c>
      <c r="H164" s="3" t="b">
        <f aca="false">ISNUMBER(MATCH(F164,'globales-sys'!F:F, 0))</f>
        <v>0</v>
      </c>
      <c r="I164" s="1" t="str">
        <f aca="false">IFERROR(INDEX('globales-sys'!G:G, MATCH(F164,'globales-sys'!F:F, 0)), "")</f>
        <v/>
      </c>
      <c r="J164" s="3" t="b">
        <f aca="false">ISNUMBER(MATCH(F164,'globales-baas'!F:F, 0))</f>
        <v>0</v>
      </c>
      <c r="K164" s="1" t="str">
        <f aca="false">IFERROR(INDEX('globales-baas'!G:G, MATCH(F164,'globales-baas'!F:F, 0)), "")</f>
        <v/>
      </c>
      <c r="L164" s="3" t="b">
        <f aca="false">ISNUMBER(MATCH(F164,'globales-bff'!F:F, 0))</f>
        <v>0</v>
      </c>
      <c r="M164" s="1" t="str">
        <f aca="false">IFERROR(INDEX('globales-bff'!G:G, MATCH(F164,'globales-bff'!F:F, 0)), "")</f>
        <v/>
      </c>
    </row>
    <row r="165" customFormat="false" ht="12.8" hidden="false" customHeight="false" outlineLevel="0" collapsed="false">
      <c r="A165" s="0" t="s">
        <v>2927</v>
      </c>
      <c r="B165" s="0" t="s">
        <v>3428</v>
      </c>
      <c r="C165" s="0" t="n">
        <v>200</v>
      </c>
      <c r="D165" s="0" t="s">
        <v>3286</v>
      </c>
      <c r="E165" s="0" t="s">
        <v>3176</v>
      </c>
      <c r="F165" s="0" t="s">
        <v>3429</v>
      </c>
      <c r="G165" s="0" t="s">
        <v>3192</v>
      </c>
      <c r="H165" s="3" t="b">
        <f aca="false">ISNUMBER(MATCH(F165,'globales-sys'!F:F, 0))</f>
        <v>0</v>
      </c>
      <c r="I165" s="1" t="str">
        <f aca="false">IFERROR(INDEX('globales-sys'!G:G, MATCH(F165,'globales-sys'!F:F, 0)), "")</f>
        <v/>
      </c>
      <c r="J165" s="3" t="b">
        <f aca="false">ISNUMBER(MATCH(F165,'globales-baas'!F:F, 0))</f>
        <v>0</v>
      </c>
      <c r="K165" s="1" t="str">
        <f aca="false">IFERROR(INDEX('globales-baas'!G:G, MATCH(F165,'globales-baas'!F:F, 0)), "")</f>
        <v/>
      </c>
      <c r="L165" s="3" t="b">
        <f aca="false">ISNUMBER(MATCH(F165,'globales-bff'!F:F, 0))</f>
        <v>0</v>
      </c>
      <c r="M165" s="1" t="str">
        <f aca="false">IFERROR(INDEX('globales-bff'!G:G, MATCH(F165,'globales-bff'!F:F, 0)), "")</f>
        <v/>
      </c>
    </row>
    <row r="166" customFormat="false" ht="12.8" hidden="false" customHeight="false" outlineLevel="0" collapsed="false">
      <c r="A166" s="0" t="s">
        <v>2927</v>
      </c>
      <c r="B166" s="0" t="s">
        <v>3428</v>
      </c>
      <c r="C166" s="0" t="n">
        <v>200</v>
      </c>
      <c r="D166" s="0" t="s">
        <v>3286</v>
      </c>
      <c r="E166" s="0" t="s">
        <v>3176</v>
      </c>
      <c r="F166" s="0" t="s">
        <v>3177</v>
      </c>
      <c r="G166" s="0" t="s">
        <v>3430</v>
      </c>
      <c r="H166" s="3" t="b">
        <f aca="false">ISNUMBER(MATCH(F166,'globales-sys'!F:F, 0))</f>
        <v>0</v>
      </c>
      <c r="I166" s="1" t="str">
        <f aca="false">IFERROR(INDEX('globales-sys'!G:G, MATCH(F166,'globales-sys'!F:F, 0)), "")</f>
        <v/>
      </c>
      <c r="J166" s="3" t="b">
        <f aca="false">ISNUMBER(MATCH(F166,'globales-baas'!F:F, 0))</f>
        <v>0</v>
      </c>
      <c r="K166" s="1" t="str">
        <f aca="false">IFERROR(INDEX('globales-baas'!G:G, MATCH(F166,'globales-baas'!F:F, 0)), "")</f>
        <v/>
      </c>
      <c r="L166" s="3" t="b">
        <f aca="false">ISNUMBER(MATCH(F166,'globales-bff'!F:F, 0))</f>
        <v>0</v>
      </c>
      <c r="M166" s="1" t="str">
        <f aca="false">IFERROR(INDEX('globales-bff'!G:G, MATCH(F166,'globales-bff'!F:F, 0)), "")</f>
        <v/>
      </c>
    </row>
    <row r="167" customFormat="false" ht="12.8" hidden="false" customHeight="false" outlineLevel="0" collapsed="false">
      <c r="A167" s="0" t="s">
        <v>842</v>
      </c>
      <c r="B167" s="0" t="s">
        <v>3431</v>
      </c>
      <c r="C167" s="0" t="n">
        <v>200</v>
      </c>
      <c r="D167" s="0" t="s">
        <v>3432</v>
      </c>
      <c r="E167" s="0" t="s">
        <v>3176</v>
      </c>
      <c r="F167" s="0" t="s">
        <v>3177</v>
      </c>
      <c r="G167" s="0" t="s">
        <v>3192</v>
      </c>
      <c r="H167" s="3" t="b">
        <f aca="false">ISNUMBER(MATCH(F167,'globales-sys'!F:F, 0))</f>
        <v>0</v>
      </c>
      <c r="I167" s="1" t="str">
        <f aca="false">IFERROR(INDEX('globales-sys'!G:G, MATCH(F167,'globales-sys'!F:F, 0)), "")</f>
        <v/>
      </c>
      <c r="J167" s="3" t="b">
        <f aca="false">ISNUMBER(MATCH(F167,'globales-baas'!F:F, 0))</f>
        <v>0</v>
      </c>
      <c r="K167" s="1" t="str">
        <f aca="false">IFERROR(INDEX('globales-baas'!G:G, MATCH(F167,'globales-baas'!F:F, 0)), "")</f>
        <v/>
      </c>
      <c r="L167" s="3" t="b">
        <f aca="false">ISNUMBER(MATCH(F167,'globales-bff'!F:F, 0))</f>
        <v>0</v>
      </c>
      <c r="M167" s="1" t="str">
        <f aca="false">IFERROR(INDEX('globales-bff'!G:G, MATCH(F167,'globales-bff'!F:F, 0)), "")</f>
        <v/>
      </c>
    </row>
    <row r="168" customFormat="false" ht="12.8" hidden="false" customHeight="false" outlineLevel="0" collapsed="false">
      <c r="A168" s="0" t="s">
        <v>842</v>
      </c>
      <c r="B168" s="0" t="s">
        <v>3431</v>
      </c>
      <c r="C168" s="0" t="n">
        <v>200</v>
      </c>
      <c r="D168" s="0" t="s">
        <v>3432</v>
      </c>
      <c r="E168" s="0" t="s">
        <v>3176</v>
      </c>
      <c r="F168" s="0" t="s">
        <v>3179</v>
      </c>
      <c r="G168" s="0" t="s">
        <v>3433</v>
      </c>
      <c r="H168" s="3" t="b">
        <f aca="false">ISNUMBER(MATCH(F168,'globales-sys'!F:F, 0))</f>
        <v>0</v>
      </c>
      <c r="I168" s="1" t="str">
        <f aca="false">IFERROR(INDEX('globales-sys'!G:G, MATCH(F168,'globales-sys'!F:F, 0)), "")</f>
        <v/>
      </c>
      <c r="J168" s="3" t="b">
        <f aca="false">ISNUMBER(MATCH(F168,'globales-baas'!F:F, 0))</f>
        <v>0</v>
      </c>
      <c r="K168" s="1" t="str">
        <f aca="false">IFERROR(INDEX('globales-baas'!G:G, MATCH(F168,'globales-baas'!F:F, 0)), "")</f>
        <v/>
      </c>
      <c r="L168" s="3" t="b">
        <f aca="false">ISNUMBER(MATCH(F168,'globales-bff'!F:F, 0))</f>
        <v>0</v>
      </c>
      <c r="M168" s="1" t="str">
        <f aca="false">IFERROR(INDEX('globales-bff'!G:G, MATCH(F168,'globales-bff'!F:F, 0)), "")</f>
        <v/>
      </c>
    </row>
    <row r="169" customFormat="false" ht="12.8" hidden="false" customHeight="false" outlineLevel="0" collapsed="false">
      <c r="A169" s="0" t="s">
        <v>842</v>
      </c>
      <c r="B169" s="0" t="s">
        <v>3431</v>
      </c>
      <c r="C169" s="0" t="n">
        <v>200</v>
      </c>
      <c r="D169" s="0" t="s">
        <v>3432</v>
      </c>
      <c r="E169" s="0" t="s">
        <v>3176</v>
      </c>
      <c r="F169" s="0" t="s">
        <v>3181</v>
      </c>
      <c r="G169" s="0" t="s">
        <v>3342</v>
      </c>
      <c r="H169" s="3" t="b">
        <f aca="false">ISNUMBER(MATCH(F169,'globales-sys'!F:F, 0))</f>
        <v>0</v>
      </c>
      <c r="I169" s="1" t="str">
        <f aca="false">IFERROR(INDEX('globales-sys'!G:G, MATCH(F169,'globales-sys'!F:F, 0)), "")</f>
        <v/>
      </c>
      <c r="J169" s="3" t="b">
        <f aca="false">ISNUMBER(MATCH(F169,'globales-baas'!F:F, 0))</f>
        <v>0</v>
      </c>
      <c r="K169" s="1" t="str">
        <f aca="false">IFERROR(INDEX('globales-baas'!G:G, MATCH(F169,'globales-baas'!F:F, 0)), "")</f>
        <v/>
      </c>
      <c r="L169" s="3" t="b">
        <f aca="false">ISNUMBER(MATCH(F169,'globales-bff'!F:F, 0))</f>
        <v>0</v>
      </c>
      <c r="M169" s="1" t="str">
        <f aca="false">IFERROR(INDEX('globales-bff'!G:G, MATCH(F169,'globales-bff'!F:F, 0)), "")</f>
        <v/>
      </c>
    </row>
    <row r="170" customFormat="false" ht="12.8" hidden="false" customHeight="false" outlineLevel="0" collapsed="false">
      <c r="A170" s="0" t="s">
        <v>842</v>
      </c>
      <c r="B170" s="0" t="s">
        <v>3431</v>
      </c>
      <c r="C170" s="0" t="n">
        <v>200</v>
      </c>
      <c r="D170" s="0" t="s">
        <v>3432</v>
      </c>
      <c r="E170" s="0" t="s">
        <v>3176</v>
      </c>
      <c r="F170" s="0" t="s">
        <v>3183</v>
      </c>
      <c r="G170" s="0" t="s">
        <v>3434</v>
      </c>
      <c r="H170" s="3" t="b">
        <f aca="false">ISNUMBER(MATCH(F170,'globales-sys'!F:F, 0))</f>
        <v>0</v>
      </c>
      <c r="I170" s="1" t="str">
        <f aca="false">IFERROR(INDEX('globales-sys'!G:G, MATCH(F170,'globales-sys'!F:F, 0)), "")</f>
        <v/>
      </c>
      <c r="J170" s="3" t="b">
        <f aca="false">ISNUMBER(MATCH(F170,'globales-baas'!F:F, 0))</f>
        <v>0</v>
      </c>
      <c r="K170" s="1" t="str">
        <f aca="false">IFERROR(INDEX('globales-baas'!G:G, MATCH(F170,'globales-baas'!F:F, 0)), "")</f>
        <v/>
      </c>
      <c r="L170" s="3" t="b">
        <f aca="false">ISNUMBER(MATCH(F170,'globales-bff'!F:F, 0))</f>
        <v>0</v>
      </c>
      <c r="M170" s="1" t="str">
        <f aca="false">IFERROR(INDEX('globales-bff'!G:G, MATCH(F170,'globales-bff'!F:F, 0)), "")</f>
        <v/>
      </c>
    </row>
    <row r="171" customFormat="false" ht="12.8" hidden="false" customHeight="false" outlineLevel="0" collapsed="false">
      <c r="A171" s="0" t="s">
        <v>842</v>
      </c>
      <c r="B171" s="0" t="s">
        <v>3431</v>
      </c>
      <c r="C171" s="0" t="n">
        <v>200</v>
      </c>
      <c r="D171" s="0" t="s">
        <v>3432</v>
      </c>
      <c r="E171" s="0" t="s">
        <v>3176</v>
      </c>
      <c r="F171" s="0" t="s">
        <v>3185</v>
      </c>
      <c r="G171" s="0" t="s">
        <v>3435</v>
      </c>
      <c r="H171" s="3" t="b">
        <f aca="false">ISNUMBER(MATCH(F171,'globales-sys'!F:F, 0))</f>
        <v>0</v>
      </c>
      <c r="I171" s="1" t="str">
        <f aca="false">IFERROR(INDEX('globales-sys'!G:G, MATCH(F171,'globales-sys'!F:F, 0)), "")</f>
        <v/>
      </c>
      <c r="J171" s="3" t="b">
        <f aca="false">ISNUMBER(MATCH(F171,'globales-baas'!F:F, 0))</f>
        <v>0</v>
      </c>
      <c r="K171" s="1" t="str">
        <f aca="false">IFERROR(INDEX('globales-baas'!G:G, MATCH(F171,'globales-baas'!F:F, 0)), "")</f>
        <v/>
      </c>
      <c r="L171" s="3" t="b">
        <f aca="false">ISNUMBER(MATCH(F171,'globales-bff'!F:F, 0))</f>
        <v>0</v>
      </c>
      <c r="M171" s="1" t="str">
        <f aca="false">IFERROR(INDEX('globales-bff'!G:G, MATCH(F171,'globales-bff'!F:F, 0)), "")</f>
        <v/>
      </c>
    </row>
    <row r="172" customFormat="false" ht="12.8" hidden="false" customHeight="false" outlineLevel="0" collapsed="false">
      <c r="A172" s="0" t="s">
        <v>842</v>
      </c>
      <c r="B172" s="0" t="s">
        <v>3431</v>
      </c>
      <c r="C172" s="0" t="n">
        <v>200</v>
      </c>
      <c r="D172" s="0" t="s">
        <v>3432</v>
      </c>
      <c r="E172" s="0" t="s">
        <v>3176</v>
      </c>
      <c r="F172" s="0" t="s">
        <v>3436</v>
      </c>
      <c r="G172" s="0" t="s">
        <v>3238</v>
      </c>
      <c r="H172" s="3" t="b">
        <f aca="false">ISNUMBER(MATCH(F172,'globales-sys'!F:F, 0))</f>
        <v>1</v>
      </c>
      <c r="I172" s="1" t="str">
        <f aca="false">IFERROR(INDEX('globales-sys'!G:G, MATCH(F172,'globales-sys'!F:F, 0)), "")</f>
        <v>https://ms-infra-security-jwt-pro-ns-inf.bancsabadell.com/</v>
      </c>
      <c r="J172" s="3" t="b">
        <f aca="false">ISNUMBER(MATCH(F172,'globales-baas'!F:F, 0))</f>
        <v>1</v>
      </c>
      <c r="K172" s="1" t="str">
        <f aca="false">IFERROR(INDEX('globales-baas'!G:G, MATCH(F172,'globales-baas'!F:F, 0)), "")</f>
        <v>https://ms-infra-security-jwt-pro-ns-inf.bancsabadell.com/</v>
      </c>
      <c r="L172" s="3" t="b">
        <f aca="false">ISNUMBER(MATCH(F172,'globales-bff'!F:F, 0))</f>
        <v>1</v>
      </c>
      <c r="M172" s="1" t="str">
        <f aca="false">IFERROR(INDEX('globales-bff'!G:G, MATCH(F172,'globales-bff'!F:F, 0)), "")</f>
        <v>https://ms-infra-security-jwt-pro-ns-inf.bancsabadell.com/</v>
      </c>
    </row>
    <row r="173" customFormat="false" ht="12.8" hidden="false" customHeight="false" outlineLevel="0" collapsed="false">
      <c r="A173" s="0" t="s">
        <v>842</v>
      </c>
      <c r="B173" s="0" t="s">
        <v>3431</v>
      </c>
      <c r="C173" s="0" t="n">
        <v>200</v>
      </c>
      <c r="D173" s="0" t="s">
        <v>3432</v>
      </c>
      <c r="E173" s="0" t="s">
        <v>3176</v>
      </c>
      <c r="F173" s="0" t="s">
        <v>3326</v>
      </c>
      <c r="G173" s="0" t="s">
        <v>3437</v>
      </c>
      <c r="H173" s="3" t="b">
        <f aca="false">ISNUMBER(MATCH(F173,'globales-sys'!F:F, 0))</f>
        <v>1</v>
      </c>
      <c r="I173" s="1" t="str">
        <f aca="false">IFERROR(INDEX('globales-sys'!G:G, MATCH(F173,'globales-sys'!F:F, 0)), "")</f>
        <v>https://pro-openam-elb.pro.p4es.aws.bancsabadell.com:8443/o</v>
      </c>
      <c r="J173" s="3" t="b">
        <f aca="false">ISNUMBER(MATCH(F173,'globales-baas'!F:F, 0))</f>
        <v>1</v>
      </c>
      <c r="K173" s="1" t="str">
        <f aca="false">IFERROR(INDEX('globales-baas'!G:G, MATCH(F173,'globales-baas'!F:F, 0)), "")</f>
        <v>https://pro-openam-elb.pro.p4es.aws.bancsabadell.com:8443/o</v>
      </c>
      <c r="L173" s="3" t="b">
        <f aca="false">ISNUMBER(MATCH(F173,'globales-bff'!F:F, 0))</f>
        <v>0</v>
      </c>
      <c r="M173" s="1" t="str">
        <f aca="false">IFERROR(INDEX('globales-bff'!G:G, MATCH(F173,'globales-bff'!F:F, 0)), "")</f>
        <v/>
      </c>
    </row>
    <row r="174" customFormat="false" ht="12.8" hidden="false" customHeight="false" outlineLevel="0" collapsed="false">
      <c r="A174" s="0" t="s">
        <v>963</v>
      </c>
      <c r="B174" s="0" t="s">
        <v>3438</v>
      </c>
      <c r="C174" s="0" t="n">
        <v>401</v>
      </c>
      <c r="D174" s="0" t="s">
        <v>3439</v>
      </c>
      <c r="E174" s="0" t="n">
        <v>401</v>
      </c>
      <c r="H174" s="3" t="b">
        <f aca="false">ISNUMBER(MATCH(F174,'globales-sys'!F:F, 0))</f>
        <v>0</v>
      </c>
      <c r="I174" s="1" t="str">
        <f aca="false">IFERROR(INDEX('globales-sys'!G:G, MATCH(F174,'globales-sys'!F:F, 0)), "")</f>
        <v/>
      </c>
      <c r="J174" s="3" t="b">
        <f aca="false">ISNUMBER(MATCH(F174,'globales-baas'!F:F, 0))</f>
        <v>0</v>
      </c>
      <c r="K174" s="1" t="str">
        <f aca="false">IFERROR(INDEX('globales-baas'!G:G, MATCH(F174,'globales-baas'!F:F, 0)), "")</f>
        <v/>
      </c>
      <c r="L174" s="3" t="b">
        <f aca="false">ISNUMBER(MATCH(F174,'globales-bff'!F:F, 0))</f>
        <v>0</v>
      </c>
      <c r="M174" s="1" t="str">
        <f aca="false">IFERROR(INDEX('globales-bff'!G:G, MATCH(F174,'globales-bff'!F:F, 0)), "")</f>
        <v/>
      </c>
    </row>
    <row r="175" customFormat="false" ht="12.8" hidden="false" customHeight="false" outlineLevel="0" collapsed="false">
      <c r="A175" s="0" t="s">
        <v>2636</v>
      </c>
      <c r="B175" s="0" t="s">
        <v>3440</v>
      </c>
      <c r="C175" s="0" t="n">
        <v>404</v>
      </c>
      <c r="D175" s="0" t="s">
        <v>3219</v>
      </c>
      <c r="E175" s="0" t="n">
        <v>404</v>
      </c>
      <c r="H175" s="3" t="b">
        <f aca="false">ISNUMBER(MATCH(F175,'globales-sys'!F:F, 0))</f>
        <v>0</v>
      </c>
      <c r="I175" s="1" t="str">
        <f aca="false">IFERROR(INDEX('globales-sys'!G:G, MATCH(F175,'globales-sys'!F:F, 0)), "")</f>
        <v/>
      </c>
      <c r="J175" s="3" t="b">
        <f aca="false">ISNUMBER(MATCH(F175,'globales-baas'!F:F, 0))</f>
        <v>0</v>
      </c>
      <c r="K175" s="1" t="str">
        <f aca="false">IFERROR(INDEX('globales-baas'!G:G, MATCH(F175,'globales-baas'!F:F, 0)), "")</f>
        <v/>
      </c>
      <c r="L175" s="3" t="b">
        <f aca="false">ISNUMBER(MATCH(F175,'globales-bff'!F:F, 0))</f>
        <v>0</v>
      </c>
      <c r="M175" s="1" t="str">
        <f aca="false">IFERROR(INDEX('globales-bff'!G:G, MATCH(F175,'globales-bff'!F:F, 0)), "")</f>
        <v/>
      </c>
    </row>
    <row r="176" customFormat="false" ht="12.8" hidden="false" customHeight="false" outlineLevel="0" collapsed="false">
      <c r="A176" s="0" t="s">
        <v>1670</v>
      </c>
      <c r="B176" s="0" t="s">
        <v>3441</v>
      </c>
      <c r="C176" s="0" t="n">
        <v>404</v>
      </c>
      <c r="D176" s="0" t="s">
        <v>3442</v>
      </c>
      <c r="E176" s="0" t="n">
        <v>404</v>
      </c>
      <c r="H176" s="3" t="b">
        <f aca="false">ISNUMBER(MATCH(F176,'globales-sys'!F:F, 0))</f>
        <v>0</v>
      </c>
      <c r="I176" s="1" t="str">
        <f aca="false">IFERROR(INDEX('globales-sys'!G:G, MATCH(F176,'globales-sys'!F:F, 0)), "")</f>
        <v/>
      </c>
      <c r="J176" s="3" t="b">
        <f aca="false">ISNUMBER(MATCH(F176,'globales-baas'!F:F, 0))</f>
        <v>0</v>
      </c>
      <c r="K176" s="1" t="str">
        <f aca="false">IFERROR(INDEX('globales-baas'!G:G, MATCH(F176,'globales-baas'!F:F, 0)), "")</f>
        <v/>
      </c>
      <c r="L176" s="3" t="b">
        <f aca="false">ISNUMBER(MATCH(F176,'globales-bff'!F:F, 0))</f>
        <v>0</v>
      </c>
      <c r="M176" s="1" t="str">
        <f aca="false">IFERROR(INDEX('globales-bff'!G:G, MATCH(F176,'globales-bff'!F:F, 0)), "")</f>
        <v/>
      </c>
    </row>
    <row r="177" customFormat="false" ht="12.8" hidden="false" customHeight="false" outlineLevel="0" collapsed="false">
      <c r="A177" s="0" t="s">
        <v>3089</v>
      </c>
      <c r="B177" s="0" t="s">
        <v>3443</v>
      </c>
      <c r="C177" s="0" t="n">
        <v>404</v>
      </c>
      <c r="D177" s="0" t="s">
        <v>3444</v>
      </c>
      <c r="E177" s="0" t="n">
        <v>404</v>
      </c>
      <c r="H177" s="3" t="b">
        <f aca="false">ISNUMBER(MATCH(F177,'globales-sys'!F:F, 0))</f>
        <v>0</v>
      </c>
      <c r="I177" s="1" t="str">
        <f aca="false">IFERROR(INDEX('globales-sys'!G:G, MATCH(F177,'globales-sys'!F:F, 0)), "")</f>
        <v/>
      </c>
      <c r="J177" s="3" t="b">
        <f aca="false">ISNUMBER(MATCH(F177,'globales-baas'!F:F, 0))</f>
        <v>0</v>
      </c>
      <c r="K177" s="1" t="str">
        <f aca="false">IFERROR(INDEX('globales-baas'!G:G, MATCH(F177,'globales-baas'!F:F, 0)), "")</f>
        <v/>
      </c>
      <c r="L177" s="3" t="b">
        <f aca="false">ISNUMBER(MATCH(F177,'globales-bff'!F:F, 0))</f>
        <v>0</v>
      </c>
      <c r="M177" s="1" t="str">
        <f aca="false">IFERROR(INDEX('globales-bff'!G:G, MATCH(F177,'globales-bff'!F:F, 0)), "")</f>
        <v/>
      </c>
    </row>
    <row r="178" customFormat="false" ht="12.8" hidden="false" customHeight="false" outlineLevel="0" collapsed="false">
      <c r="A178" s="0" t="s">
        <v>1368</v>
      </c>
      <c r="B178" s="0" t="s">
        <v>3445</v>
      </c>
      <c r="C178" s="0" t="n">
        <v>404</v>
      </c>
      <c r="D178" s="0" t="s">
        <v>3446</v>
      </c>
      <c r="E178" s="0" t="n">
        <v>404</v>
      </c>
      <c r="H178" s="3" t="b">
        <f aca="false">ISNUMBER(MATCH(F178,'globales-sys'!F:F, 0))</f>
        <v>0</v>
      </c>
      <c r="I178" s="1" t="str">
        <f aca="false">IFERROR(INDEX('globales-sys'!G:G, MATCH(F178,'globales-sys'!F:F, 0)), "")</f>
        <v/>
      </c>
      <c r="J178" s="3" t="b">
        <f aca="false">ISNUMBER(MATCH(F178,'globales-baas'!F:F, 0))</f>
        <v>0</v>
      </c>
      <c r="K178" s="1" t="str">
        <f aca="false">IFERROR(INDEX('globales-baas'!G:G, MATCH(F178,'globales-baas'!F:F, 0)), "")</f>
        <v/>
      </c>
      <c r="L178" s="3" t="b">
        <f aca="false">ISNUMBER(MATCH(F178,'globales-bff'!F:F, 0))</f>
        <v>0</v>
      </c>
      <c r="M178" s="1" t="str">
        <f aca="false">IFERROR(INDEX('globales-bff'!G:G, MATCH(F178,'globales-bff'!F:F, 0)), "")</f>
        <v/>
      </c>
    </row>
    <row r="179" customFormat="false" ht="12.8" hidden="false" customHeight="false" outlineLevel="0" collapsed="false">
      <c r="A179" s="0" t="s">
        <v>1390</v>
      </c>
      <c r="B179" s="0" t="s">
        <v>3447</v>
      </c>
      <c r="C179" s="0" t="n">
        <v>404</v>
      </c>
      <c r="D179" s="0" t="s">
        <v>3298</v>
      </c>
      <c r="E179" s="0" t="n">
        <v>404</v>
      </c>
      <c r="H179" s="3" t="b">
        <f aca="false">ISNUMBER(MATCH(F179,'globales-sys'!F:F, 0))</f>
        <v>0</v>
      </c>
      <c r="I179" s="1" t="str">
        <f aca="false">IFERROR(INDEX('globales-sys'!G:G, MATCH(F179,'globales-sys'!F:F, 0)), "")</f>
        <v/>
      </c>
      <c r="J179" s="3" t="b">
        <f aca="false">ISNUMBER(MATCH(F179,'globales-baas'!F:F, 0))</f>
        <v>0</v>
      </c>
      <c r="K179" s="1" t="str">
        <f aca="false">IFERROR(INDEX('globales-baas'!G:G, MATCH(F179,'globales-baas'!F:F, 0)), "")</f>
        <v/>
      </c>
      <c r="L179" s="3" t="b">
        <f aca="false">ISNUMBER(MATCH(F179,'globales-bff'!F:F, 0))</f>
        <v>0</v>
      </c>
      <c r="M179" s="1" t="str">
        <f aca="false">IFERROR(INDEX('globales-bff'!G:G, MATCH(F179,'globales-bff'!F:F, 0)), "")</f>
        <v/>
      </c>
    </row>
    <row r="180" customFormat="false" ht="12.8" hidden="false" customHeight="false" outlineLevel="0" collapsed="false">
      <c r="A180" s="0" t="s">
        <v>1457</v>
      </c>
      <c r="B180" s="0" t="s">
        <v>3448</v>
      </c>
      <c r="C180" s="0" t="n">
        <v>404</v>
      </c>
      <c r="D180" s="0" t="s">
        <v>3377</v>
      </c>
      <c r="E180" s="0" t="n">
        <v>404</v>
      </c>
      <c r="H180" s="3" t="b">
        <f aca="false">ISNUMBER(MATCH(F180,'globales-sys'!F:F, 0))</f>
        <v>0</v>
      </c>
      <c r="I180" s="1" t="str">
        <f aca="false">IFERROR(INDEX('globales-sys'!G:G, MATCH(F180,'globales-sys'!F:F, 0)), "")</f>
        <v/>
      </c>
      <c r="J180" s="3" t="b">
        <f aca="false">ISNUMBER(MATCH(F180,'globales-baas'!F:F, 0))</f>
        <v>0</v>
      </c>
      <c r="K180" s="1" t="str">
        <f aca="false">IFERROR(INDEX('globales-baas'!G:G, MATCH(F180,'globales-baas'!F:F, 0)), "")</f>
        <v/>
      </c>
      <c r="L180" s="3" t="b">
        <f aca="false">ISNUMBER(MATCH(F180,'globales-bff'!F:F, 0))</f>
        <v>0</v>
      </c>
      <c r="M180" s="1" t="str">
        <f aca="false">IFERROR(INDEX('globales-bff'!G:G, MATCH(F180,'globales-bff'!F:F, 0)), "")</f>
        <v/>
      </c>
    </row>
    <row r="181" customFormat="false" ht="12.8" hidden="false" customHeight="false" outlineLevel="0" collapsed="false">
      <c r="A181" s="0" t="s">
        <v>1522</v>
      </c>
      <c r="B181" s="0" t="s">
        <v>3449</v>
      </c>
      <c r="C181" s="0" t="n">
        <v>404</v>
      </c>
      <c r="D181" s="0" t="s">
        <v>3292</v>
      </c>
      <c r="E181" s="0" t="n">
        <v>404</v>
      </c>
      <c r="H181" s="3" t="b">
        <f aca="false">ISNUMBER(MATCH(F181,'globales-sys'!F:F, 0))</f>
        <v>0</v>
      </c>
      <c r="I181" s="1" t="str">
        <f aca="false">IFERROR(INDEX('globales-sys'!G:G, MATCH(F181,'globales-sys'!F:F, 0)), "")</f>
        <v/>
      </c>
      <c r="J181" s="3" t="b">
        <f aca="false">ISNUMBER(MATCH(F181,'globales-baas'!F:F, 0))</f>
        <v>0</v>
      </c>
      <c r="K181" s="1" t="str">
        <f aca="false">IFERROR(INDEX('globales-baas'!G:G, MATCH(F181,'globales-baas'!F:F, 0)), "")</f>
        <v/>
      </c>
      <c r="L181" s="3" t="b">
        <f aca="false">ISNUMBER(MATCH(F181,'globales-bff'!F:F, 0))</f>
        <v>0</v>
      </c>
      <c r="M181" s="1" t="str">
        <f aca="false">IFERROR(INDEX('globales-bff'!G:G, MATCH(F181,'globales-bff'!F:F, 0)), "")</f>
        <v/>
      </c>
    </row>
    <row r="182" customFormat="false" ht="12.8" hidden="false" customHeight="false" outlineLevel="0" collapsed="false">
      <c r="A182" s="0" t="s">
        <v>2370</v>
      </c>
      <c r="B182" s="0" t="s">
        <v>3450</v>
      </c>
      <c r="C182" s="0" t="n">
        <v>404</v>
      </c>
      <c r="D182" s="0" t="s">
        <v>3451</v>
      </c>
      <c r="E182" s="0" t="n">
        <v>404</v>
      </c>
      <c r="H182" s="3" t="b">
        <f aca="false">ISNUMBER(MATCH(F182,'globales-sys'!F:F, 0))</f>
        <v>0</v>
      </c>
      <c r="I182" s="1" t="str">
        <f aca="false">IFERROR(INDEX('globales-sys'!G:G, MATCH(F182,'globales-sys'!F:F, 0)), "")</f>
        <v/>
      </c>
      <c r="J182" s="3" t="b">
        <f aca="false">ISNUMBER(MATCH(F182,'globales-baas'!F:F, 0))</f>
        <v>0</v>
      </c>
      <c r="K182" s="1" t="str">
        <f aca="false">IFERROR(INDEX('globales-baas'!G:G, MATCH(F182,'globales-baas'!F:F, 0)), "")</f>
        <v/>
      </c>
      <c r="L182" s="3" t="b">
        <f aca="false">ISNUMBER(MATCH(F182,'globales-bff'!F:F, 0))</f>
        <v>0</v>
      </c>
      <c r="M182" s="1" t="str">
        <f aca="false">IFERROR(INDEX('globales-bff'!G:G, MATCH(F182,'globales-bff'!F:F, 0)), "")</f>
        <v/>
      </c>
    </row>
    <row r="183" customFormat="false" ht="12.8" hidden="false" customHeight="false" outlineLevel="0" collapsed="false">
      <c r="A183" s="0" t="s">
        <v>1065</v>
      </c>
      <c r="B183" s="0" t="s">
        <v>3452</v>
      </c>
      <c r="C183" s="0" t="n">
        <v>404</v>
      </c>
      <c r="D183" s="0" t="s">
        <v>3282</v>
      </c>
      <c r="E183" s="0" t="n">
        <v>404</v>
      </c>
      <c r="H183" s="3" t="b">
        <f aca="false">ISNUMBER(MATCH(F183,'globales-sys'!F:F, 0))</f>
        <v>0</v>
      </c>
      <c r="I183" s="1" t="str">
        <f aca="false">IFERROR(INDEX('globales-sys'!G:G, MATCH(F183,'globales-sys'!F:F, 0)), "")</f>
        <v/>
      </c>
      <c r="J183" s="3" t="b">
        <f aca="false">ISNUMBER(MATCH(F183,'globales-baas'!F:F, 0))</f>
        <v>0</v>
      </c>
      <c r="K183" s="1" t="str">
        <f aca="false">IFERROR(INDEX('globales-baas'!G:G, MATCH(F183,'globales-baas'!F:F, 0)), "")</f>
        <v/>
      </c>
      <c r="L183" s="3" t="b">
        <f aca="false">ISNUMBER(MATCH(F183,'globales-bff'!F:F, 0))</f>
        <v>0</v>
      </c>
      <c r="M183" s="1" t="str">
        <f aca="false">IFERROR(INDEX('globales-bff'!G:G, MATCH(F183,'globales-bff'!F:F, 0)), "")</f>
        <v/>
      </c>
    </row>
    <row r="184" customFormat="false" ht="12.8" hidden="false" customHeight="false" outlineLevel="0" collapsed="false">
      <c r="A184" s="0" t="s">
        <v>1411</v>
      </c>
      <c r="B184" s="0" t="s">
        <v>3453</v>
      </c>
      <c r="C184" s="0" t="n">
        <v>404</v>
      </c>
      <c r="D184" s="0" t="s">
        <v>3454</v>
      </c>
      <c r="E184" s="0" t="n">
        <v>404</v>
      </c>
      <c r="H184" s="3" t="b">
        <f aca="false">ISNUMBER(MATCH(F184,'globales-sys'!F:F, 0))</f>
        <v>0</v>
      </c>
      <c r="I184" s="1" t="str">
        <f aca="false">IFERROR(INDEX('globales-sys'!G:G, MATCH(F184,'globales-sys'!F:F, 0)), "")</f>
        <v/>
      </c>
      <c r="J184" s="3" t="b">
        <f aca="false">ISNUMBER(MATCH(F184,'globales-baas'!F:F, 0))</f>
        <v>0</v>
      </c>
      <c r="K184" s="1" t="str">
        <f aca="false">IFERROR(INDEX('globales-baas'!G:G, MATCH(F184,'globales-baas'!F:F, 0)), "")</f>
        <v/>
      </c>
      <c r="L184" s="3" t="b">
        <f aca="false">ISNUMBER(MATCH(F184,'globales-bff'!F:F, 0))</f>
        <v>0</v>
      </c>
      <c r="M184" s="1" t="str">
        <f aca="false">IFERROR(INDEX('globales-bff'!G:G, MATCH(F184,'globales-bff'!F:F, 0)), "")</f>
        <v/>
      </c>
    </row>
    <row r="185" customFormat="false" ht="12.8" hidden="false" customHeight="false" outlineLevel="0" collapsed="false">
      <c r="A185" s="0" t="s">
        <v>2492</v>
      </c>
      <c r="B185" s="0" t="s">
        <v>3455</v>
      </c>
      <c r="C185" s="0" t="n">
        <v>404</v>
      </c>
      <c r="D185" s="0" t="s">
        <v>3173</v>
      </c>
      <c r="E185" s="0" t="n">
        <v>404</v>
      </c>
      <c r="H185" s="3" t="b">
        <f aca="false">ISNUMBER(MATCH(F185,'globales-sys'!F:F, 0))</f>
        <v>0</v>
      </c>
      <c r="I185" s="1" t="str">
        <f aca="false">IFERROR(INDEX('globales-sys'!G:G, MATCH(F185,'globales-sys'!F:F, 0)), "")</f>
        <v/>
      </c>
      <c r="J185" s="3" t="b">
        <f aca="false">ISNUMBER(MATCH(F185,'globales-baas'!F:F, 0))</f>
        <v>0</v>
      </c>
      <c r="K185" s="1" t="str">
        <f aca="false">IFERROR(INDEX('globales-baas'!G:G, MATCH(F185,'globales-baas'!F:F, 0)), "")</f>
        <v/>
      </c>
      <c r="L185" s="3" t="b">
        <f aca="false">ISNUMBER(MATCH(F185,'globales-bff'!F:F, 0))</f>
        <v>0</v>
      </c>
      <c r="M185" s="1" t="str">
        <f aca="false">IFERROR(INDEX('globales-bff'!G:G, MATCH(F185,'globales-bff'!F:F, 0)), "")</f>
        <v/>
      </c>
    </row>
    <row r="186" customFormat="false" ht="12.8" hidden="false" customHeight="false" outlineLevel="0" collapsed="false">
      <c r="A186" s="0" t="s">
        <v>3008</v>
      </c>
      <c r="B186" s="0" t="s">
        <v>3456</v>
      </c>
      <c r="C186" s="0" t="n">
        <v>404</v>
      </c>
      <c r="D186" s="0" t="s">
        <v>3457</v>
      </c>
      <c r="E186" s="0" t="n">
        <v>404</v>
      </c>
      <c r="H186" s="3" t="b">
        <f aca="false">ISNUMBER(MATCH(F186,'globales-sys'!F:F, 0))</f>
        <v>0</v>
      </c>
      <c r="I186" s="1" t="str">
        <f aca="false">IFERROR(INDEX('globales-sys'!G:G, MATCH(F186,'globales-sys'!F:F, 0)), "")</f>
        <v/>
      </c>
      <c r="J186" s="3" t="b">
        <f aca="false">ISNUMBER(MATCH(F186,'globales-baas'!F:F, 0))</f>
        <v>0</v>
      </c>
      <c r="K186" s="1" t="str">
        <f aca="false">IFERROR(INDEX('globales-baas'!G:G, MATCH(F186,'globales-baas'!F:F, 0)), "")</f>
        <v/>
      </c>
      <c r="L186" s="3" t="b">
        <f aca="false">ISNUMBER(MATCH(F186,'globales-bff'!F:F, 0))</f>
        <v>0</v>
      </c>
      <c r="M186" s="1" t="str">
        <f aca="false">IFERROR(INDEX('globales-bff'!G:G, MATCH(F186,'globales-bff'!F:F, 0)), "")</f>
        <v/>
      </c>
    </row>
    <row r="187" customFormat="false" ht="12.8" hidden="false" customHeight="false" outlineLevel="0" collapsed="false">
      <c r="A187" s="0" t="s">
        <v>2175</v>
      </c>
      <c r="B187" s="0" t="s">
        <v>3458</v>
      </c>
      <c r="C187" s="0" t="n">
        <v>404</v>
      </c>
      <c r="D187" s="0" t="s">
        <v>3459</v>
      </c>
      <c r="E187" s="0" t="n">
        <v>404</v>
      </c>
      <c r="H187" s="3" t="b">
        <f aca="false">ISNUMBER(MATCH(F187,'globales-sys'!F:F, 0))</f>
        <v>0</v>
      </c>
      <c r="I187" s="1" t="str">
        <f aca="false">IFERROR(INDEX('globales-sys'!G:G, MATCH(F187,'globales-sys'!F:F, 0)), "")</f>
        <v/>
      </c>
      <c r="J187" s="3" t="b">
        <f aca="false">ISNUMBER(MATCH(F187,'globales-baas'!F:F, 0))</f>
        <v>0</v>
      </c>
      <c r="K187" s="1" t="str">
        <f aca="false">IFERROR(INDEX('globales-baas'!G:G, MATCH(F187,'globales-baas'!F:F, 0)), "")</f>
        <v/>
      </c>
      <c r="L187" s="3" t="b">
        <f aca="false">ISNUMBER(MATCH(F187,'globales-bff'!F:F, 0))</f>
        <v>0</v>
      </c>
      <c r="M187" s="1" t="str">
        <f aca="false">IFERROR(INDEX('globales-bff'!G:G, MATCH(F187,'globales-bff'!F:F, 0)), "")</f>
        <v/>
      </c>
    </row>
    <row r="188" customFormat="false" ht="12.8" hidden="false" customHeight="false" outlineLevel="0" collapsed="false">
      <c r="A188" s="0" t="s">
        <v>888</v>
      </c>
      <c r="B188" s="0" t="s">
        <v>3460</v>
      </c>
      <c r="C188" s="0" t="n">
        <v>401</v>
      </c>
      <c r="D188" s="0" t="s">
        <v>3208</v>
      </c>
      <c r="E188" s="0" t="n">
        <v>401</v>
      </c>
      <c r="H188" s="3" t="b">
        <f aca="false">ISNUMBER(MATCH(F188,'globales-sys'!F:F, 0))</f>
        <v>0</v>
      </c>
      <c r="I188" s="1" t="str">
        <f aca="false">IFERROR(INDEX('globales-sys'!G:G, MATCH(F188,'globales-sys'!F:F, 0)), "")</f>
        <v/>
      </c>
      <c r="J188" s="3" t="b">
        <f aca="false">ISNUMBER(MATCH(F188,'globales-baas'!F:F, 0))</f>
        <v>0</v>
      </c>
      <c r="K188" s="1" t="str">
        <f aca="false">IFERROR(INDEX('globales-baas'!G:G, MATCH(F188,'globales-baas'!F:F, 0)), "")</f>
        <v/>
      </c>
      <c r="L188" s="3" t="b">
        <f aca="false">ISNUMBER(MATCH(F188,'globales-bff'!F:F, 0))</f>
        <v>0</v>
      </c>
      <c r="M188" s="1" t="str">
        <f aca="false">IFERROR(INDEX('globales-bff'!G:G, MATCH(F188,'globales-bff'!F:F, 0)), "")</f>
        <v/>
      </c>
    </row>
    <row r="189" customFormat="false" ht="12.8" hidden="false" customHeight="false" outlineLevel="0" collapsed="false">
      <c r="A189" s="0" t="s">
        <v>2885</v>
      </c>
      <c r="B189" s="0" t="s">
        <v>3461</v>
      </c>
      <c r="C189" s="0" t="n">
        <v>401</v>
      </c>
      <c r="D189" s="0" t="s">
        <v>3175</v>
      </c>
      <c r="E189" s="0" t="n">
        <v>401</v>
      </c>
      <c r="H189" s="3" t="b">
        <f aca="false">ISNUMBER(MATCH(F189,'globales-sys'!F:F, 0))</f>
        <v>0</v>
      </c>
      <c r="I189" s="1" t="str">
        <f aca="false">IFERROR(INDEX('globales-sys'!G:G, MATCH(F189,'globales-sys'!F:F, 0)), "")</f>
        <v/>
      </c>
      <c r="J189" s="3" t="b">
        <f aca="false">ISNUMBER(MATCH(F189,'globales-baas'!F:F, 0))</f>
        <v>0</v>
      </c>
      <c r="K189" s="1" t="str">
        <f aca="false">IFERROR(INDEX('globales-baas'!G:G, MATCH(F189,'globales-baas'!F:F, 0)), "")</f>
        <v/>
      </c>
      <c r="L189" s="3" t="b">
        <f aca="false">ISNUMBER(MATCH(F189,'globales-bff'!F:F, 0))</f>
        <v>0</v>
      </c>
      <c r="M189" s="1" t="str">
        <f aca="false">IFERROR(INDEX('globales-bff'!G:G, MATCH(F189,'globales-bff'!F:F, 0)), "")</f>
        <v/>
      </c>
    </row>
    <row r="190" customFormat="false" ht="12.8" hidden="false" customHeight="false" outlineLevel="0" collapsed="false">
      <c r="A190" s="0" t="s">
        <v>1138</v>
      </c>
      <c r="B190" s="0" t="s">
        <v>3462</v>
      </c>
      <c r="C190" s="0" t="n">
        <v>401</v>
      </c>
      <c r="D190" s="0" t="s">
        <v>3432</v>
      </c>
      <c r="E190" s="0" t="n">
        <v>401</v>
      </c>
      <c r="H190" s="3" t="b">
        <f aca="false">ISNUMBER(MATCH(F190,'globales-sys'!F:F, 0))</f>
        <v>0</v>
      </c>
      <c r="I190" s="1" t="str">
        <f aca="false">IFERROR(INDEX('globales-sys'!G:G, MATCH(F190,'globales-sys'!F:F, 0)), "")</f>
        <v/>
      </c>
      <c r="J190" s="3" t="b">
        <f aca="false">ISNUMBER(MATCH(F190,'globales-baas'!F:F, 0))</f>
        <v>0</v>
      </c>
      <c r="K190" s="1" t="str">
        <f aca="false">IFERROR(INDEX('globales-baas'!G:G, MATCH(F190,'globales-baas'!F:F, 0)), "")</f>
        <v/>
      </c>
      <c r="L190" s="3" t="b">
        <f aca="false">ISNUMBER(MATCH(F190,'globales-bff'!F:F, 0))</f>
        <v>0</v>
      </c>
      <c r="M190" s="1" t="str">
        <f aca="false">IFERROR(INDEX('globales-bff'!G:G, MATCH(F190,'globales-bff'!F:F, 0)), "")</f>
        <v/>
      </c>
    </row>
    <row r="191" customFormat="false" ht="12.8" hidden="false" customHeight="false" outlineLevel="0" collapsed="false">
      <c r="A191" s="0" t="s">
        <v>2291</v>
      </c>
      <c r="B191" s="0" t="s">
        <v>3463</v>
      </c>
      <c r="C191" s="0" t="n">
        <v>404</v>
      </c>
      <c r="D191" s="0" t="s">
        <v>3464</v>
      </c>
      <c r="E191" s="0" t="n">
        <v>404</v>
      </c>
      <c r="H191" s="3" t="b">
        <f aca="false">ISNUMBER(MATCH(F191,'globales-sys'!F:F, 0))</f>
        <v>0</v>
      </c>
      <c r="I191" s="1" t="str">
        <f aca="false">IFERROR(INDEX('globales-sys'!G:G, MATCH(F191,'globales-sys'!F:F, 0)), "")</f>
        <v/>
      </c>
      <c r="J191" s="3" t="b">
        <f aca="false">ISNUMBER(MATCH(F191,'globales-baas'!F:F, 0))</f>
        <v>0</v>
      </c>
      <c r="K191" s="1" t="str">
        <f aca="false">IFERROR(INDEX('globales-baas'!G:G, MATCH(F191,'globales-baas'!F:F, 0)), "")</f>
        <v/>
      </c>
      <c r="L191" s="3" t="b">
        <f aca="false">ISNUMBER(MATCH(F191,'globales-bff'!F:F, 0))</f>
        <v>0</v>
      </c>
      <c r="M191" s="1" t="str">
        <f aca="false">IFERROR(INDEX('globales-bff'!G:G, MATCH(F191,'globales-bff'!F:F, 0)), "")</f>
        <v/>
      </c>
    </row>
    <row r="192" customFormat="false" ht="12.8" hidden="false" customHeight="false" outlineLevel="0" collapsed="false">
      <c r="A192" s="0" t="s">
        <v>2812</v>
      </c>
      <c r="B192" s="0" t="s">
        <v>3465</v>
      </c>
      <c r="C192" s="0" t="n">
        <v>404</v>
      </c>
      <c r="D192" s="0" t="s">
        <v>3256</v>
      </c>
      <c r="E192" s="0" t="n">
        <v>404</v>
      </c>
      <c r="H192" s="3" t="b">
        <f aca="false">ISNUMBER(MATCH(F192,'globales-sys'!F:F, 0))</f>
        <v>0</v>
      </c>
      <c r="I192" s="1" t="str">
        <f aca="false">IFERROR(INDEX('globales-sys'!G:G, MATCH(F192,'globales-sys'!F:F, 0)), "")</f>
        <v/>
      </c>
      <c r="J192" s="3" t="b">
        <f aca="false">ISNUMBER(MATCH(F192,'globales-baas'!F:F, 0))</f>
        <v>0</v>
      </c>
      <c r="K192" s="1" t="str">
        <f aca="false">IFERROR(INDEX('globales-baas'!G:G, MATCH(F192,'globales-baas'!F:F, 0)), "")</f>
        <v/>
      </c>
      <c r="L192" s="3" t="b">
        <f aca="false">ISNUMBER(MATCH(F192,'globales-bff'!F:F, 0))</f>
        <v>0</v>
      </c>
      <c r="M192" s="1" t="str">
        <f aca="false">IFERROR(INDEX('globales-bff'!G:G, MATCH(F192,'globales-bff'!F:F, 0)), "")</f>
        <v/>
      </c>
    </row>
    <row r="193" customFormat="false" ht="12.8" hidden="false" customHeight="false" outlineLevel="0" collapsed="false">
      <c r="A193" s="0" t="s">
        <v>2270</v>
      </c>
      <c r="B193" s="0" t="s">
        <v>3466</v>
      </c>
      <c r="C193" s="0" t="n">
        <v>404</v>
      </c>
      <c r="D193" s="0" t="s">
        <v>3467</v>
      </c>
      <c r="E193" s="0" t="n">
        <v>404</v>
      </c>
      <c r="H193" s="3" t="b">
        <f aca="false">ISNUMBER(MATCH(F193,'globales-sys'!F:F, 0))</f>
        <v>0</v>
      </c>
      <c r="I193" s="1" t="str">
        <f aca="false">IFERROR(INDEX('globales-sys'!G:G, MATCH(F193,'globales-sys'!F:F, 0)), "")</f>
        <v/>
      </c>
      <c r="J193" s="3" t="b">
        <f aca="false">ISNUMBER(MATCH(F193,'globales-baas'!F:F, 0))</f>
        <v>0</v>
      </c>
      <c r="K193" s="1" t="str">
        <f aca="false">IFERROR(INDEX('globales-baas'!G:G, MATCH(F193,'globales-baas'!F:F, 0)), "")</f>
        <v/>
      </c>
      <c r="L193" s="3" t="b">
        <f aca="false">ISNUMBER(MATCH(F193,'globales-bff'!F:F, 0))</f>
        <v>0</v>
      </c>
      <c r="M193" s="1" t="str">
        <f aca="false">IFERROR(INDEX('globales-bff'!G:G, MATCH(F193,'globales-bff'!F:F, 0)), "")</f>
        <v/>
      </c>
    </row>
    <row r="194" customFormat="false" ht="12.8" hidden="false" customHeight="false" outlineLevel="0" collapsed="false">
      <c r="A194" s="0" t="s">
        <v>2184</v>
      </c>
      <c r="B194" s="0" t="s">
        <v>3468</v>
      </c>
      <c r="C194" s="0" t="n">
        <v>200</v>
      </c>
      <c r="D194" s="0" t="s">
        <v>3377</v>
      </c>
      <c r="E194" s="0" t="s">
        <v>3176</v>
      </c>
      <c r="F194" s="0" t="s">
        <v>3198</v>
      </c>
      <c r="G194" s="0" t="s">
        <v>3199</v>
      </c>
      <c r="H194" s="3" t="b">
        <f aca="false">ISNUMBER(MATCH(F194,'globales-sys'!F:F, 0))</f>
        <v>1</v>
      </c>
      <c r="I194" s="1" t="str">
        <f aca="false">IFERROR(INDEX('globales-sys'!G:G, MATCH(F194,'globales-sys'!F:F, 0)), "")</f>
        <v>https://ms-infra-mainframe-adapter-pro-ns-inf.${PROVIDER_SUFFIX_URL:apps.pro.aws.bancsabadell.com}</v>
      </c>
      <c r="J194" s="3" t="b">
        <f aca="false">ISNUMBER(MATCH(F194,'globales-baas'!F:F, 0))</f>
        <v>0</v>
      </c>
      <c r="K194" s="1" t="str">
        <f aca="false">IFERROR(INDEX('globales-baas'!G:G, MATCH(F194,'globales-baas'!F:F, 0)), "")</f>
        <v/>
      </c>
      <c r="L194" s="3" t="b">
        <f aca="false">ISNUMBER(MATCH(F194,'globales-bff'!F:F, 0))</f>
        <v>0</v>
      </c>
      <c r="M194" s="1" t="str">
        <f aca="false">IFERROR(INDEX('globales-bff'!G:G, MATCH(F194,'globales-bff'!F:F, 0)), "")</f>
        <v/>
      </c>
    </row>
    <row r="195" customFormat="false" ht="12.8" hidden="false" customHeight="false" outlineLevel="0" collapsed="false">
      <c r="A195" s="0" t="s">
        <v>2996</v>
      </c>
      <c r="B195" s="0" t="s">
        <v>3469</v>
      </c>
      <c r="C195" s="0" t="n">
        <v>404</v>
      </c>
      <c r="D195" s="0" t="s">
        <v>3432</v>
      </c>
      <c r="E195" s="0" t="n">
        <v>404</v>
      </c>
      <c r="H195" s="3" t="b">
        <f aca="false">ISNUMBER(MATCH(F195,'globales-sys'!F:F, 0))</f>
        <v>0</v>
      </c>
      <c r="I195" s="1" t="str">
        <f aca="false">IFERROR(INDEX('globales-sys'!G:G, MATCH(F195,'globales-sys'!F:F, 0)), "")</f>
        <v/>
      </c>
      <c r="J195" s="3" t="b">
        <f aca="false">ISNUMBER(MATCH(F195,'globales-baas'!F:F, 0))</f>
        <v>0</v>
      </c>
      <c r="K195" s="1" t="str">
        <f aca="false">IFERROR(INDEX('globales-baas'!G:G, MATCH(F195,'globales-baas'!F:F, 0)), "")</f>
        <v/>
      </c>
      <c r="L195" s="3" t="b">
        <f aca="false">ISNUMBER(MATCH(F195,'globales-bff'!F:F, 0))</f>
        <v>0</v>
      </c>
      <c r="M195" s="1" t="str">
        <f aca="false">IFERROR(INDEX('globales-bff'!G:G, MATCH(F195,'globales-bff'!F:F, 0)), "")</f>
        <v/>
      </c>
    </row>
    <row r="196" customFormat="false" ht="12.8" hidden="false" customHeight="false" outlineLevel="0" collapsed="false">
      <c r="A196" s="0" t="s">
        <v>1251</v>
      </c>
      <c r="B196" s="0" t="s">
        <v>3470</v>
      </c>
      <c r="C196" s="0" t="n">
        <v>404</v>
      </c>
      <c r="D196" s="0" t="s">
        <v>3315</v>
      </c>
      <c r="E196" s="0" t="n">
        <v>404</v>
      </c>
      <c r="H196" s="3" t="b">
        <f aca="false">ISNUMBER(MATCH(F196,'globales-sys'!F:F, 0))</f>
        <v>0</v>
      </c>
      <c r="I196" s="1" t="str">
        <f aca="false">IFERROR(INDEX('globales-sys'!G:G, MATCH(F196,'globales-sys'!F:F, 0)), "")</f>
        <v/>
      </c>
      <c r="J196" s="3" t="b">
        <f aca="false">ISNUMBER(MATCH(F196,'globales-baas'!F:F, 0))</f>
        <v>0</v>
      </c>
      <c r="K196" s="1" t="str">
        <f aca="false">IFERROR(INDEX('globales-baas'!G:G, MATCH(F196,'globales-baas'!F:F, 0)), "")</f>
        <v/>
      </c>
      <c r="L196" s="3" t="b">
        <f aca="false">ISNUMBER(MATCH(F196,'globales-bff'!F:F, 0))</f>
        <v>0</v>
      </c>
      <c r="M196" s="1" t="str">
        <f aca="false">IFERROR(INDEX('globales-bff'!G:G, MATCH(F196,'globales-bff'!F:F, 0)), "")</f>
        <v/>
      </c>
    </row>
    <row r="197" customFormat="false" ht="12.8" hidden="false" customHeight="false" outlineLevel="0" collapsed="false">
      <c r="A197" s="0" t="s">
        <v>1010</v>
      </c>
      <c r="B197" s="0" t="s">
        <v>3471</v>
      </c>
      <c r="C197" s="0" t="n">
        <v>404</v>
      </c>
      <c r="D197" s="0" t="s">
        <v>3204</v>
      </c>
      <c r="E197" s="0" t="n">
        <v>404</v>
      </c>
      <c r="H197" s="3" t="b">
        <f aca="false">ISNUMBER(MATCH(F197,'globales-sys'!F:F, 0))</f>
        <v>0</v>
      </c>
      <c r="I197" s="1" t="str">
        <f aca="false">IFERROR(INDEX('globales-sys'!G:G, MATCH(F197,'globales-sys'!F:F, 0)), "")</f>
        <v/>
      </c>
      <c r="J197" s="3" t="b">
        <f aca="false">ISNUMBER(MATCH(F197,'globales-baas'!F:F, 0))</f>
        <v>0</v>
      </c>
      <c r="K197" s="1" t="str">
        <f aca="false">IFERROR(INDEX('globales-baas'!G:G, MATCH(F197,'globales-baas'!F:F, 0)), "")</f>
        <v/>
      </c>
      <c r="L197" s="3" t="b">
        <f aca="false">ISNUMBER(MATCH(F197,'globales-bff'!F:F, 0))</f>
        <v>0</v>
      </c>
      <c r="M197" s="1" t="str">
        <f aca="false">IFERROR(INDEX('globales-bff'!G:G, MATCH(F197,'globales-bff'!F:F, 0)), "")</f>
        <v/>
      </c>
    </row>
    <row r="198" customFormat="false" ht="12.8" hidden="false" customHeight="false" outlineLevel="0" collapsed="false">
      <c r="A198" s="0" t="s">
        <v>2940</v>
      </c>
      <c r="B198" s="0" t="s">
        <v>3472</v>
      </c>
      <c r="C198" s="0" t="n">
        <v>404</v>
      </c>
      <c r="D198" s="0" t="s">
        <v>3473</v>
      </c>
      <c r="E198" s="0" t="n">
        <v>404</v>
      </c>
      <c r="H198" s="3" t="b">
        <f aca="false">ISNUMBER(MATCH(F198,'globales-sys'!F:F, 0))</f>
        <v>0</v>
      </c>
      <c r="I198" s="1" t="str">
        <f aca="false">IFERROR(INDEX('globales-sys'!G:G, MATCH(F198,'globales-sys'!F:F, 0)), "")</f>
        <v/>
      </c>
      <c r="J198" s="3" t="b">
        <f aca="false">ISNUMBER(MATCH(F198,'globales-baas'!F:F, 0))</f>
        <v>0</v>
      </c>
      <c r="K198" s="1" t="str">
        <f aca="false">IFERROR(INDEX('globales-baas'!G:G, MATCH(F198,'globales-baas'!F:F, 0)), "")</f>
        <v/>
      </c>
      <c r="L198" s="3" t="b">
        <f aca="false">ISNUMBER(MATCH(F198,'globales-bff'!F:F, 0))</f>
        <v>0</v>
      </c>
      <c r="M198" s="1" t="str">
        <f aca="false">IFERROR(INDEX('globales-bff'!G:G, MATCH(F198,'globales-bff'!F:F, 0)), "")</f>
        <v/>
      </c>
    </row>
    <row r="199" customFormat="false" ht="12.8" hidden="false" customHeight="false" outlineLevel="0" collapsed="false">
      <c r="A199" s="0" t="s">
        <v>2959</v>
      </c>
      <c r="B199" s="0" t="s">
        <v>3474</v>
      </c>
      <c r="C199" s="0" t="n">
        <v>404</v>
      </c>
      <c r="D199" s="0" t="s">
        <v>3175</v>
      </c>
      <c r="E199" s="0" t="n">
        <v>404</v>
      </c>
      <c r="H199" s="3" t="b">
        <f aca="false">ISNUMBER(MATCH(F199,'globales-sys'!F:F, 0))</f>
        <v>0</v>
      </c>
      <c r="I199" s="1" t="str">
        <f aca="false">IFERROR(INDEX('globales-sys'!G:G, MATCH(F199,'globales-sys'!F:F, 0)), "")</f>
        <v/>
      </c>
      <c r="J199" s="3" t="b">
        <f aca="false">ISNUMBER(MATCH(F199,'globales-baas'!F:F, 0))</f>
        <v>0</v>
      </c>
      <c r="K199" s="1" t="str">
        <f aca="false">IFERROR(INDEX('globales-baas'!G:G, MATCH(F199,'globales-baas'!F:F, 0)), "")</f>
        <v/>
      </c>
      <c r="L199" s="3" t="b">
        <f aca="false">ISNUMBER(MATCH(F199,'globales-bff'!F:F, 0))</f>
        <v>0</v>
      </c>
      <c r="M199" s="1" t="str">
        <f aca="false">IFERROR(INDEX('globales-bff'!G:G, MATCH(F199,'globales-bff'!F:F, 0)), "")</f>
        <v/>
      </c>
    </row>
    <row r="200" customFormat="false" ht="12.8" hidden="false" customHeight="false" outlineLevel="0" collapsed="false">
      <c r="A200" s="0" t="s">
        <v>2818</v>
      </c>
      <c r="B200" s="0" t="s">
        <v>3475</v>
      </c>
      <c r="C200" s="0" t="n">
        <v>200</v>
      </c>
      <c r="D200" s="0" t="s">
        <v>3173</v>
      </c>
      <c r="E200" s="0" t="s">
        <v>3176</v>
      </c>
      <c r="F200" s="0" t="s">
        <v>3177</v>
      </c>
      <c r="G200" s="0" t="s">
        <v>3476</v>
      </c>
      <c r="H200" s="3" t="b">
        <f aca="false">ISNUMBER(MATCH(F200,'globales-sys'!F:F, 0))</f>
        <v>0</v>
      </c>
      <c r="I200" s="1" t="str">
        <f aca="false">IFERROR(INDEX('globales-sys'!G:G, MATCH(F200,'globales-sys'!F:F, 0)), "")</f>
        <v/>
      </c>
      <c r="J200" s="3" t="b">
        <f aca="false">ISNUMBER(MATCH(F200,'globales-baas'!F:F, 0))</f>
        <v>0</v>
      </c>
      <c r="K200" s="1" t="str">
        <f aca="false">IFERROR(INDEX('globales-baas'!G:G, MATCH(F200,'globales-baas'!F:F, 0)), "")</f>
        <v/>
      </c>
      <c r="L200" s="3" t="b">
        <f aca="false">ISNUMBER(MATCH(F200,'globales-bff'!F:F, 0))</f>
        <v>0</v>
      </c>
      <c r="M200" s="1" t="str">
        <f aca="false">IFERROR(INDEX('globales-bff'!G:G, MATCH(F200,'globales-bff'!F:F, 0)), "")</f>
        <v/>
      </c>
    </row>
    <row r="201" customFormat="false" ht="12.8" hidden="false" customHeight="false" outlineLevel="0" collapsed="false">
      <c r="A201" s="0" t="s">
        <v>2818</v>
      </c>
      <c r="B201" s="0" t="s">
        <v>3475</v>
      </c>
      <c r="C201" s="0" t="n">
        <v>200</v>
      </c>
      <c r="D201" s="0" t="s">
        <v>3173</v>
      </c>
      <c r="E201" s="0" t="s">
        <v>3176</v>
      </c>
      <c r="F201" s="0" t="s">
        <v>3179</v>
      </c>
      <c r="G201" s="0" t="s">
        <v>3477</v>
      </c>
      <c r="H201" s="3" t="b">
        <f aca="false">ISNUMBER(MATCH(F201,'globales-sys'!F:F, 0))</f>
        <v>0</v>
      </c>
      <c r="I201" s="1" t="str">
        <f aca="false">IFERROR(INDEX('globales-sys'!G:G, MATCH(F201,'globales-sys'!F:F, 0)), "")</f>
        <v/>
      </c>
      <c r="J201" s="3" t="b">
        <f aca="false">ISNUMBER(MATCH(F201,'globales-baas'!F:F, 0))</f>
        <v>0</v>
      </c>
      <c r="K201" s="1" t="str">
        <f aca="false">IFERROR(INDEX('globales-baas'!G:G, MATCH(F201,'globales-baas'!F:F, 0)), "")</f>
        <v/>
      </c>
      <c r="L201" s="3" t="b">
        <f aca="false">ISNUMBER(MATCH(F201,'globales-bff'!F:F, 0))</f>
        <v>0</v>
      </c>
      <c r="M201" s="1" t="str">
        <f aca="false">IFERROR(INDEX('globales-bff'!G:G, MATCH(F201,'globales-bff'!F:F, 0)), "")</f>
        <v/>
      </c>
    </row>
    <row r="202" customFormat="false" ht="12.8" hidden="false" customHeight="false" outlineLevel="0" collapsed="false">
      <c r="A202" s="0" t="s">
        <v>2818</v>
      </c>
      <c r="B202" s="0" t="s">
        <v>3475</v>
      </c>
      <c r="C202" s="0" t="n">
        <v>200</v>
      </c>
      <c r="D202" s="0" t="s">
        <v>3173</v>
      </c>
      <c r="E202" s="0" t="s">
        <v>3176</v>
      </c>
      <c r="F202" s="0" t="s">
        <v>3181</v>
      </c>
      <c r="G202" s="0" t="s">
        <v>3478</v>
      </c>
      <c r="H202" s="3" t="b">
        <f aca="false">ISNUMBER(MATCH(F202,'globales-sys'!F:F, 0))</f>
        <v>0</v>
      </c>
      <c r="I202" s="1" t="str">
        <f aca="false">IFERROR(INDEX('globales-sys'!G:G, MATCH(F202,'globales-sys'!F:F, 0)), "")</f>
        <v/>
      </c>
      <c r="J202" s="3" t="b">
        <f aca="false">ISNUMBER(MATCH(F202,'globales-baas'!F:F, 0))</f>
        <v>0</v>
      </c>
      <c r="K202" s="1" t="str">
        <f aca="false">IFERROR(INDEX('globales-baas'!G:G, MATCH(F202,'globales-baas'!F:F, 0)), "")</f>
        <v/>
      </c>
      <c r="L202" s="3" t="b">
        <f aca="false">ISNUMBER(MATCH(F202,'globales-bff'!F:F, 0))</f>
        <v>0</v>
      </c>
      <c r="M202" s="1" t="str">
        <f aca="false">IFERROR(INDEX('globales-bff'!G:G, MATCH(F202,'globales-bff'!F:F, 0)), "")</f>
        <v/>
      </c>
    </row>
    <row r="203" customFormat="false" ht="12.8" hidden="false" customHeight="false" outlineLevel="0" collapsed="false">
      <c r="A203" s="0" t="s">
        <v>2818</v>
      </c>
      <c r="B203" s="0" t="s">
        <v>3475</v>
      </c>
      <c r="C203" s="0" t="n">
        <v>200</v>
      </c>
      <c r="D203" s="0" t="s">
        <v>3173</v>
      </c>
      <c r="E203" s="0" t="s">
        <v>3176</v>
      </c>
      <c r="F203" s="0" t="s">
        <v>3398</v>
      </c>
      <c r="G203" s="0" t="s">
        <v>3265</v>
      </c>
      <c r="H203" s="3" t="b">
        <f aca="false">ISNUMBER(MATCH(F203,'globales-sys'!F:F, 0))</f>
        <v>0</v>
      </c>
      <c r="I203" s="1" t="str">
        <f aca="false">IFERROR(INDEX('globales-sys'!G:G, MATCH(F203,'globales-sys'!F:F, 0)), "")</f>
        <v/>
      </c>
      <c r="J203" s="3" t="b">
        <f aca="false">ISNUMBER(MATCH(F203,'globales-baas'!F:F, 0))</f>
        <v>0</v>
      </c>
      <c r="K203" s="1" t="str">
        <f aca="false">IFERROR(INDEX('globales-baas'!G:G, MATCH(F203,'globales-baas'!F:F, 0)), "")</f>
        <v/>
      </c>
      <c r="L203" s="3" t="b">
        <f aca="false">ISNUMBER(MATCH(F203,'globales-bff'!F:F, 0))</f>
        <v>0</v>
      </c>
      <c r="M203" s="1" t="str">
        <f aca="false">IFERROR(INDEX('globales-bff'!G:G, MATCH(F203,'globales-bff'!F:F, 0)), "")</f>
        <v/>
      </c>
    </row>
    <row r="204" customFormat="false" ht="12.8" hidden="false" customHeight="false" outlineLevel="0" collapsed="false">
      <c r="A204" s="0" t="s">
        <v>881</v>
      </c>
      <c r="B204" s="0" t="s">
        <v>3479</v>
      </c>
      <c r="C204" s="0" t="n">
        <v>200</v>
      </c>
      <c r="D204" s="0" t="s">
        <v>3173</v>
      </c>
      <c r="E204" s="0" t="s">
        <v>3176</v>
      </c>
      <c r="F204" s="0" t="s">
        <v>3480</v>
      </c>
      <c r="G204" s="0" t="s">
        <v>3254</v>
      </c>
      <c r="H204" s="3" t="b">
        <f aca="false">ISNUMBER(MATCH(F204,'globales-sys'!F:F, 0))</f>
        <v>0</v>
      </c>
      <c r="I204" s="1" t="str">
        <f aca="false">IFERROR(INDEX('globales-sys'!G:G, MATCH(F204,'globales-sys'!F:F, 0)), "")</f>
        <v/>
      </c>
      <c r="J204" s="3" t="b">
        <f aca="false">ISNUMBER(MATCH(F204,'globales-baas'!F:F, 0))</f>
        <v>0</v>
      </c>
      <c r="K204" s="1" t="str">
        <f aca="false">IFERROR(INDEX('globales-baas'!G:G, MATCH(F204,'globales-baas'!F:F, 0)), "")</f>
        <v/>
      </c>
      <c r="L204" s="3" t="b">
        <f aca="false">ISNUMBER(MATCH(F204,'globales-bff'!F:F, 0))</f>
        <v>0</v>
      </c>
      <c r="M204" s="1" t="str">
        <f aca="false">IFERROR(INDEX('globales-bff'!G:G, MATCH(F204,'globales-bff'!F:F, 0)), "")</f>
        <v/>
      </c>
    </row>
    <row r="205" customFormat="false" ht="12.8" hidden="false" customHeight="false" outlineLevel="0" collapsed="false">
      <c r="A205" s="0" t="s">
        <v>881</v>
      </c>
      <c r="B205" s="0" t="s">
        <v>3479</v>
      </c>
      <c r="C205" s="0" t="n">
        <v>200</v>
      </c>
      <c r="D205" s="0" t="s">
        <v>3173</v>
      </c>
      <c r="E205" s="0" t="s">
        <v>3176</v>
      </c>
      <c r="F205" s="0" t="s">
        <v>3436</v>
      </c>
      <c r="G205" s="0" t="s">
        <v>3244</v>
      </c>
      <c r="H205" s="3" t="b">
        <f aca="false">ISNUMBER(MATCH(F205,'globales-sys'!F:F, 0))</f>
        <v>1</v>
      </c>
      <c r="I205" s="1" t="str">
        <f aca="false">IFERROR(INDEX('globales-sys'!G:G, MATCH(F205,'globales-sys'!F:F, 0)), "")</f>
        <v>https://ms-infra-security-jwt-pro-ns-inf.bancsabadell.com/</v>
      </c>
      <c r="J205" s="3" t="b">
        <f aca="false">ISNUMBER(MATCH(F205,'globales-baas'!F:F, 0))</f>
        <v>1</v>
      </c>
      <c r="K205" s="1" t="str">
        <f aca="false">IFERROR(INDEX('globales-baas'!G:G, MATCH(F205,'globales-baas'!F:F, 0)), "")</f>
        <v>https://ms-infra-security-jwt-pro-ns-inf.bancsabadell.com/</v>
      </c>
      <c r="L205" s="3" t="b">
        <f aca="false">ISNUMBER(MATCH(F205,'globales-bff'!F:F, 0))</f>
        <v>1</v>
      </c>
      <c r="M205" s="1" t="str">
        <f aca="false">IFERROR(INDEX('globales-bff'!G:G, MATCH(F205,'globales-bff'!F:F, 0)), "")</f>
        <v>https://ms-infra-security-jwt-pro-ns-inf.bancsabadell.com/</v>
      </c>
    </row>
    <row r="206" customFormat="false" ht="12.8" hidden="false" customHeight="false" outlineLevel="0" collapsed="false">
      <c r="A206" s="0" t="s">
        <v>881</v>
      </c>
      <c r="B206" s="0" t="s">
        <v>3479</v>
      </c>
      <c r="C206" s="0" t="n">
        <v>200</v>
      </c>
      <c r="D206" s="0" t="s">
        <v>3173</v>
      </c>
      <c r="E206" s="0" t="s">
        <v>3176</v>
      </c>
      <c r="F206" s="0" t="s">
        <v>3177</v>
      </c>
      <c r="G206" s="0" t="s">
        <v>3481</v>
      </c>
      <c r="H206" s="3" t="b">
        <f aca="false">ISNUMBER(MATCH(F206,'globales-sys'!F:F, 0))</f>
        <v>0</v>
      </c>
      <c r="I206" s="1" t="str">
        <f aca="false">IFERROR(INDEX('globales-sys'!G:G, MATCH(F206,'globales-sys'!F:F, 0)), "")</f>
        <v/>
      </c>
      <c r="J206" s="3" t="b">
        <f aca="false">ISNUMBER(MATCH(F206,'globales-baas'!F:F, 0))</f>
        <v>0</v>
      </c>
      <c r="K206" s="1" t="str">
        <f aca="false">IFERROR(INDEX('globales-baas'!G:G, MATCH(F206,'globales-baas'!F:F, 0)), "")</f>
        <v/>
      </c>
      <c r="L206" s="3" t="b">
        <f aca="false">ISNUMBER(MATCH(F206,'globales-bff'!F:F, 0))</f>
        <v>0</v>
      </c>
      <c r="M206" s="1" t="str">
        <f aca="false">IFERROR(INDEX('globales-bff'!G:G, MATCH(F206,'globales-bff'!F:F, 0)), "")</f>
        <v/>
      </c>
    </row>
    <row r="207" customFormat="false" ht="12.8" hidden="false" customHeight="false" outlineLevel="0" collapsed="false">
      <c r="A207" s="0" t="s">
        <v>881</v>
      </c>
      <c r="B207" s="0" t="s">
        <v>3479</v>
      </c>
      <c r="C207" s="0" t="n">
        <v>200</v>
      </c>
      <c r="D207" s="0" t="s">
        <v>3173</v>
      </c>
      <c r="E207" s="0" t="s">
        <v>3176</v>
      </c>
      <c r="F207" s="0" t="s">
        <v>3198</v>
      </c>
      <c r="G207" s="0" t="s">
        <v>3199</v>
      </c>
      <c r="H207" s="3" t="b">
        <f aca="false">ISNUMBER(MATCH(F207,'globales-sys'!F:F, 0))</f>
        <v>1</v>
      </c>
      <c r="I207" s="1" t="str">
        <f aca="false">IFERROR(INDEX('globales-sys'!G:G, MATCH(F207,'globales-sys'!F:F, 0)), "")</f>
        <v>https://ms-infra-mainframe-adapter-pro-ns-inf.${PROVIDER_SUFFIX_URL:apps.pro.aws.bancsabadell.com}</v>
      </c>
      <c r="J207" s="3" t="b">
        <f aca="false">ISNUMBER(MATCH(F207,'globales-baas'!F:F, 0))</f>
        <v>0</v>
      </c>
      <c r="K207" s="1" t="str">
        <f aca="false">IFERROR(INDEX('globales-baas'!G:G, MATCH(F207,'globales-baas'!F:F, 0)), "")</f>
        <v/>
      </c>
      <c r="L207" s="3" t="b">
        <f aca="false">ISNUMBER(MATCH(F207,'globales-bff'!F:F, 0))</f>
        <v>0</v>
      </c>
      <c r="M207" s="1" t="str">
        <f aca="false">IFERROR(INDEX('globales-bff'!G:G, MATCH(F207,'globales-bff'!F:F, 0)), "")</f>
        <v/>
      </c>
    </row>
    <row r="208" customFormat="false" ht="12.8" hidden="false" customHeight="false" outlineLevel="0" collapsed="false">
      <c r="A208" s="0" t="s">
        <v>881</v>
      </c>
      <c r="B208" s="0" t="s">
        <v>3479</v>
      </c>
      <c r="C208" s="0" t="n">
        <v>200</v>
      </c>
      <c r="D208" s="0" t="s">
        <v>3173</v>
      </c>
      <c r="E208" s="0" t="s">
        <v>3176</v>
      </c>
      <c r="F208" s="0" t="s">
        <v>3482</v>
      </c>
      <c r="G208" s="0" t="s">
        <v>3197</v>
      </c>
      <c r="H208" s="3" t="b">
        <f aca="false">ISNUMBER(MATCH(F208,'globales-sys'!F:F, 0))</f>
        <v>1</v>
      </c>
      <c r="I208" s="1" t="str">
        <f aca="false">IFERROR(INDEX('globales-sys'!G:G, MATCH(F208,'globales-sys'!F:F, 0)), "")</f>
        <v>https://ms-infra-literal-adapter-pro-ns-inf.${PROVIDER_SUFFIX_URL:apps.pro.aws.bancsabadell.com}</v>
      </c>
      <c r="J208" s="3" t="b">
        <f aca="false">ISNUMBER(MATCH(F208,'globales-baas'!F:F, 0))</f>
        <v>0</v>
      </c>
      <c r="K208" s="1" t="str">
        <f aca="false">IFERROR(INDEX('globales-baas'!G:G, MATCH(F208,'globales-baas'!F:F, 0)), "")</f>
        <v/>
      </c>
      <c r="L208" s="3" t="b">
        <f aca="false">ISNUMBER(MATCH(F208,'globales-bff'!F:F, 0))</f>
        <v>0</v>
      </c>
      <c r="M208" s="1" t="str">
        <f aca="false">IFERROR(INDEX('globales-bff'!G:G, MATCH(F208,'globales-bff'!F:F, 0)), "")</f>
        <v/>
      </c>
    </row>
    <row r="209" customFormat="false" ht="12.8" hidden="false" customHeight="false" outlineLevel="0" collapsed="false">
      <c r="A209" s="0" t="s">
        <v>881</v>
      </c>
      <c r="B209" s="0" t="s">
        <v>3479</v>
      </c>
      <c r="C209" s="0" t="n">
        <v>200</v>
      </c>
      <c r="D209" s="0" t="s">
        <v>3173</v>
      </c>
      <c r="E209" s="0" t="s">
        <v>3176</v>
      </c>
      <c r="F209" s="0" t="s">
        <v>3365</v>
      </c>
      <c r="G209" s="0" t="s">
        <v>3483</v>
      </c>
      <c r="H209" s="3" t="b">
        <f aca="false">ISNUMBER(MATCH(F209,'globales-sys'!F:F, 0))</f>
        <v>0</v>
      </c>
      <c r="I209" s="1" t="str">
        <f aca="false">IFERROR(INDEX('globales-sys'!G:G, MATCH(F209,'globales-sys'!F:F, 0)), "")</f>
        <v/>
      </c>
      <c r="J209" s="3" t="b">
        <f aca="false">ISNUMBER(MATCH(F209,'globales-baas'!F:F, 0))</f>
        <v>0</v>
      </c>
      <c r="K209" s="1" t="str">
        <f aca="false">IFERROR(INDEX('globales-baas'!G:G, MATCH(F209,'globales-baas'!F:F, 0)), "")</f>
        <v/>
      </c>
      <c r="L209" s="3" t="b">
        <f aca="false">ISNUMBER(MATCH(F209,'globales-bff'!F:F, 0))</f>
        <v>0</v>
      </c>
      <c r="M209" s="1" t="str">
        <f aca="false">IFERROR(INDEX('globales-bff'!G:G, MATCH(F209,'globales-bff'!F:F, 0)), "")</f>
        <v/>
      </c>
    </row>
    <row r="210" customFormat="false" ht="12.8" hidden="false" customHeight="false" outlineLevel="0" collapsed="false">
      <c r="A210" s="0" t="s">
        <v>1960</v>
      </c>
      <c r="B210" s="0" t="s">
        <v>3484</v>
      </c>
      <c r="C210" s="0" t="n">
        <v>404</v>
      </c>
      <c r="D210" s="0" t="s">
        <v>3208</v>
      </c>
      <c r="E210" s="0" t="n">
        <v>404</v>
      </c>
      <c r="H210" s="3" t="b">
        <f aca="false">ISNUMBER(MATCH(F210,'globales-sys'!F:F, 0))</f>
        <v>0</v>
      </c>
      <c r="I210" s="1" t="str">
        <f aca="false">IFERROR(INDEX('globales-sys'!G:G, MATCH(F210,'globales-sys'!F:F, 0)), "")</f>
        <v/>
      </c>
      <c r="J210" s="3" t="b">
        <f aca="false">ISNUMBER(MATCH(F210,'globales-baas'!F:F, 0))</f>
        <v>0</v>
      </c>
      <c r="K210" s="1" t="str">
        <f aca="false">IFERROR(INDEX('globales-baas'!G:G, MATCH(F210,'globales-baas'!F:F, 0)), "")</f>
        <v/>
      </c>
      <c r="L210" s="3" t="b">
        <f aca="false">ISNUMBER(MATCH(F210,'globales-bff'!F:F, 0))</f>
        <v>0</v>
      </c>
      <c r="M210" s="1" t="str">
        <f aca="false">IFERROR(INDEX('globales-bff'!G:G, MATCH(F210,'globales-bff'!F:F, 0)), "")</f>
        <v/>
      </c>
    </row>
    <row r="211" customFormat="false" ht="12.8" hidden="false" customHeight="false" outlineLevel="0" collapsed="false">
      <c r="A211" s="0" t="s">
        <v>1299</v>
      </c>
      <c r="B211" s="0" t="s">
        <v>3485</v>
      </c>
      <c r="C211" s="0" t="n">
        <v>200</v>
      </c>
      <c r="D211" s="0" t="s">
        <v>3432</v>
      </c>
      <c r="E211" s="0" t="s">
        <v>3176</v>
      </c>
      <c r="F211" s="0" t="s">
        <v>3196</v>
      </c>
      <c r="G211" s="0" t="s">
        <v>3197</v>
      </c>
      <c r="H211" s="3" t="b">
        <f aca="false">ISNUMBER(MATCH(F211,'globales-sys'!F:F, 0))</f>
        <v>0</v>
      </c>
      <c r="I211" s="1" t="str">
        <f aca="false">IFERROR(INDEX('globales-sys'!G:G, MATCH(F211,'globales-sys'!F:F, 0)), "")</f>
        <v/>
      </c>
      <c r="J211" s="3" t="b">
        <f aca="false">ISNUMBER(MATCH(F211,'globales-baas'!F:F, 0))</f>
        <v>0</v>
      </c>
      <c r="K211" s="1" t="str">
        <f aca="false">IFERROR(INDEX('globales-baas'!G:G, MATCH(F211,'globales-baas'!F:F, 0)), "")</f>
        <v/>
      </c>
      <c r="L211" s="3" t="b">
        <f aca="false">ISNUMBER(MATCH(F211,'globales-bff'!F:F, 0))</f>
        <v>0</v>
      </c>
      <c r="M211" s="1" t="str">
        <f aca="false">IFERROR(INDEX('globales-bff'!G:G, MATCH(F211,'globales-bff'!F:F, 0)), "")</f>
        <v/>
      </c>
    </row>
    <row r="212" customFormat="false" ht="12.8" hidden="false" customHeight="false" outlineLevel="0" collapsed="false">
      <c r="A212" s="0" t="s">
        <v>1299</v>
      </c>
      <c r="B212" s="0" t="s">
        <v>3485</v>
      </c>
      <c r="C212" s="0" t="n">
        <v>200</v>
      </c>
      <c r="D212" s="0" t="s">
        <v>3432</v>
      </c>
      <c r="E212" s="0" t="s">
        <v>3176</v>
      </c>
      <c r="F212" s="0" t="s">
        <v>3198</v>
      </c>
      <c r="G212" s="0" t="s">
        <v>3486</v>
      </c>
      <c r="H212" s="3" t="b">
        <f aca="false">ISNUMBER(MATCH(F212,'globales-sys'!F:F, 0))</f>
        <v>1</v>
      </c>
      <c r="I212" s="1" t="str">
        <f aca="false">IFERROR(INDEX('globales-sys'!G:G, MATCH(F212,'globales-sys'!F:F, 0)), "")</f>
        <v>https://ms-infra-mainframe-adapter-pro-ns-inf.${PROVIDER_SUFFIX_URL:apps.pro.aws.bancsabadell.com}</v>
      </c>
      <c r="J212" s="3" t="b">
        <f aca="false">ISNUMBER(MATCH(F212,'globales-baas'!F:F, 0))</f>
        <v>0</v>
      </c>
      <c r="K212" s="1" t="str">
        <f aca="false">IFERROR(INDEX('globales-baas'!G:G, MATCH(F212,'globales-baas'!F:F, 0)), "")</f>
        <v/>
      </c>
      <c r="L212" s="3" t="b">
        <f aca="false">ISNUMBER(MATCH(F212,'globales-bff'!F:F, 0))</f>
        <v>0</v>
      </c>
      <c r="M212" s="1" t="str">
        <f aca="false">IFERROR(INDEX('globales-bff'!G:G, MATCH(F212,'globales-bff'!F:F, 0)), "")</f>
        <v/>
      </c>
    </row>
    <row r="213" customFormat="false" ht="12.8" hidden="false" customHeight="false" outlineLevel="0" collapsed="false">
      <c r="A213" s="0" t="s">
        <v>2565</v>
      </c>
      <c r="B213" s="0" t="s">
        <v>3487</v>
      </c>
      <c r="C213" s="0" t="n">
        <v>404</v>
      </c>
      <c r="D213" s="0" t="s">
        <v>3175</v>
      </c>
      <c r="E213" s="0" t="n">
        <v>404</v>
      </c>
      <c r="H213" s="3" t="b">
        <f aca="false">ISNUMBER(MATCH(F213,'globales-sys'!F:F, 0))</f>
        <v>0</v>
      </c>
      <c r="I213" s="1" t="str">
        <f aca="false">IFERROR(INDEX('globales-sys'!G:G, MATCH(F213,'globales-sys'!F:F, 0)), "")</f>
        <v/>
      </c>
      <c r="J213" s="3" t="b">
        <f aca="false">ISNUMBER(MATCH(F213,'globales-baas'!F:F, 0))</f>
        <v>0</v>
      </c>
      <c r="K213" s="1" t="str">
        <f aca="false">IFERROR(INDEX('globales-baas'!G:G, MATCH(F213,'globales-baas'!F:F, 0)), "")</f>
        <v/>
      </c>
      <c r="L213" s="3" t="b">
        <f aca="false">ISNUMBER(MATCH(F213,'globales-bff'!F:F, 0))</f>
        <v>0</v>
      </c>
      <c r="M213" s="1" t="str">
        <f aca="false">IFERROR(INDEX('globales-bff'!G:G, MATCH(F213,'globales-bff'!F:F, 0)), "")</f>
        <v/>
      </c>
    </row>
    <row r="214" customFormat="false" ht="12.8" hidden="false" customHeight="false" outlineLevel="0" collapsed="false">
      <c r="A214" s="0" t="s">
        <v>897</v>
      </c>
      <c r="B214" s="0" t="s">
        <v>3488</v>
      </c>
      <c r="C214" s="0" t="n">
        <v>200</v>
      </c>
      <c r="D214" s="0" t="s">
        <v>3219</v>
      </c>
      <c r="E214" s="0" t="s">
        <v>3176</v>
      </c>
      <c r="F214" s="0" t="s">
        <v>3489</v>
      </c>
      <c r="G214" s="0" t="s">
        <v>3490</v>
      </c>
      <c r="H214" s="3" t="b">
        <f aca="false">ISNUMBER(MATCH(F214,'globales-sys'!F:F, 0))</f>
        <v>0</v>
      </c>
      <c r="I214" s="1" t="str">
        <f aca="false">IFERROR(INDEX('globales-sys'!G:G, MATCH(F214,'globales-sys'!F:F, 0)), "")</f>
        <v/>
      </c>
      <c r="J214" s="3" t="b">
        <f aca="false">ISNUMBER(MATCH(F214,'globales-baas'!F:F, 0))</f>
        <v>0</v>
      </c>
      <c r="K214" s="1" t="str">
        <f aca="false">IFERROR(INDEX('globales-baas'!G:G, MATCH(F214,'globales-baas'!F:F, 0)), "")</f>
        <v/>
      </c>
      <c r="L214" s="3" t="b">
        <f aca="false">ISNUMBER(MATCH(F214,'globales-bff'!F:F, 0))</f>
        <v>0</v>
      </c>
      <c r="M214" s="1" t="str">
        <f aca="false">IFERROR(INDEX('globales-bff'!G:G, MATCH(F214,'globales-bff'!F:F, 0)), "")</f>
        <v/>
      </c>
    </row>
    <row r="215" customFormat="false" ht="12.8" hidden="false" customHeight="false" outlineLevel="0" collapsed="false">
      <c r="A215" s="0" t="s">
        <v>897</v>
      </c>
      <c r="B215" s="0" t="s">
        <v>3488</v>
      </c>
      <c r="C215" s="0" t="n">
        <v>200</v>
      </c>
      <c r="D215" s="0" t="s">
        <v>3219</v>
      </c>
      <c r="E215" s="0" t="s">
        <v>3176</v>
      </c>
      <c r="F215" s="0" t="s">
        <v>3491</v>
      </c>
      <c r="G215" s="0" t="s">
        <v>3492</v>
      </c>
      <c r="H215" s="3" t="b">
        <f aca="false">ISNUMBER(MATCH(F215,'globales-sys'!F:F, 0))</f>
        <v>0</v>
      </c>
      <c r="I215" s="1" t="str">
        <f aca="false">IFERROR(INDEX('globales-sys'!G:G, MATCH(F215,'globales-sys'!F:F, 0)), "")</f>
        <v/>
      </c>
      <c r="J215" s="3" t="b">
        <f aca="false">ISNUMBER(MATCH(F215,'globales-baas'!F:F, 0))</f>
        <v>0</v>
      </c>
      <c r="K215" s="1" t="str">
        <f aca="false">IFERROR(INDEX('globales-baas'!G:G, MATCH(F215,'globales-baas'!F:F, 0)), "")</f>
        <v/>
      </c>
      <c r="L215" s="3" t="b">
        <f aca="false">ISNUMBER(MATCH(F215,'globales-bff'!F:F, 0))</f>
        <v>0</v>
      </c>
      <c r="M215" s="1" t="str">
        <f aca="false">IFERROR(INDEX('globales-bff'!G:G, MATCH(F215,'globales-bff'!F:F, 0)), "")</f>
        <v/>
      </c>
    </row>
    <row r="216" customFormat="false" ht="12.8" hidden="false" customHeight="false" outlineLevel="0" collapsed="false">
      <c r="A216" s="0" t="s">
        <v>897</v>
      </c>
      <c r="B216" s="0" t="s">
        <v>3488</v>
      </c>
      <c r="C216" s="0" t="n">
        <v>200</v>
      </c>
      <c r="D216" s="0" t="s">
        <v>3219</v>
      </c>
      <c r="E216" s="0" t="s">
        <v>3176</v>
      </c>
      <c r="F216" s="0" t="s">
        <v>3196</v>
      </c>
      <c r="G216" s="0" t="s">
        <v>3493</v>
      </c>
      <c r="H216" s="3" t="b">
        <f aca="false">ISNUMBER(MATCH(F216,'globales-sys'!F:F, 0))</f>
        <v>0</v>
      </c>
      <c r="I216" s="1" t="str">
        <f aca="false">IFERROR(INDEX('globales-sys'!G:G, MATCH(F216,'globales-sys'!F:F, 0)), "")</f>
        <v/>
      </c>
      <c r="J216" s="3" t="b">
        <f aca="false">ISNUMBER(MATCH(F216,'globales-baas'!F:F, 0))</f>
        <v>0</v>
      </c>
      <c r="K216" s="1" t="str">
        <f aca="false">IFERROR(INDEX('globales-baas'!G:G, MATCH(F216,'globales-baas'!F:F, 0)), "")</f>
        <v/>
      </c>
      <c r="L216" s="3" t="b">
        <f aca="false">ISNUMBER(MATCH(F216,'globales-bff'!F:F, 0))</f>
        <v>0</v>
      </c>
      <c r="M216" s="1" t="str">
        <f aca="false">IFERROR(INDEX('globales-bff'!G:G, MATCH(F216,'globales-bff'!F:F, 0)), "")</f>
        <v/>
      </c>
    </row>
    <row r="217" customFormat="false" ht="12.8" hidden="false" customHeight="false" outlineLevel="0" collapsed="false">
      <c r="A217" s="0" t="s">
        <v>897</v>
      </c>
      <c r="B217" s="0" t="s">
        <v>3488</v>
      </c>
      <c r="C217" s="0" t="n">
        <v>200</v>
      </c>
      <c r="D217" s="0" t="s">
        <v>3219</v>
      </c>
      <c r="E217" s="0" t="s">
        <v>3176</v>
      </c>
      <c r="F217" s="0" t="s">
        <v>3198</v>
      </c>
      <c r="G217" s="0" t="s">
        <v>3199</v>
      </c>
      <c r="H217" s="3" t="b">
        <f aca="false">ISNUMBER(MATCH(F217,'globales-sys'!F:F, 0))</f>
        <v>1</v>
      </c>
      <c r="I217" s="1" t="str">
        <f aca="false">IFERROR(INDEX('globales-sys'!G:G, MATCH(F217,'globales-sys'!F:F, 0)), "")</f>
        <v>https://ms-infra-mainframe-adapter-pro-ns-inf.${PROVIDER_SUFFIX_URL:apps.pro.aws.bancsabadell.com}</v>
      </c>
      <c r="J217" s="3" t="b">
        <f aca="false">ISNUMBER(MATCH(F217,'globales-baas'!F:F, 0))</f>
        <v>0</v>
      </c>
      <c r="K217" s="1" t="str">
        <f aca="false">IFERROR(INDEX('globales-baas'!G:G, MATCH(F217,'globales-baas'!F:F, 0)), "")</f>
        <v/>
      </c>
      <c r="L217" s="3" t="b">
        <f aca="false">ISNUMBER(MATCH(F217,'globales-bff'!F:F, 0))</f>
        <v>0</v>
      </c>
      <c r="M217" s="1" t="str">
        <f aca="false">IFERROR(INDEX('globales-bff'!G:G, MATCH(F217,'globales-bff'!F:F, 0)), "")</f>
        <v/>
      </c>
    </row>
    <row r="218" customFormat="false" ht="12.8" hidden="false" customHeight="false" outlineLevel="0" collapsed="false">
      <c r="A218" s="0" t="s">
        <v>897</v>
      </c>
      <c r="B218" s="0" t="s">
        <v>3488</v>
      </c>
      <c r="C218" s="0" t="n">
        <v>200</v>
      </c>
      <c r="D218" s="0" t="s">
        <v>3219</v>
      </c>
      <c r="E218" s="0" t="s">
        <v>3176</v>
      </c>
      <c r="F218" s="0" t="s">
        <v>3494</v>
      </c>
      <c r="G218" s="0" t="s">
        <v>3495</v>
      </c>
      <c r="H218" s="3" t="b">
        <f aca="false">ISNUMBER(MATCH(F218,'globales-sys'!F:F, 0))</f>
        <v>0</v>
      </c>
      <c r="I218" s="1" t="str">
        <f aca="false">IFERROR(INDEX('globales-sys'!G:G, MATCH(F218,'globales-sys'!F:F, 0)), "")</f>
        <v/>
      </c>
      <c r="J218" s="3" t="b">
        <f aca="false">ISNUMBER(MATCH(F218,'globales-baas'!F:F, 0))</f>
        <v>0</v>
      </c>
      <c r="K218" s="1" t="str">
        <f aca="false">IFERROR(INDEX('globales-baas'!G:G, MATCH(F218,'globales-baas'!F:F, 0)), "")</f>
        <v/>
      </c>
      <c r="L218" s="3" t="b">
        <f aca="false">ISNUMBER(MATCH(F218,'globales-bff'!F:F, 0))</f>
        <v>0</v>
      </c>
      <c r="M218" s="1" t="str">
        <f aca="false">IFERROR(INDEX('globales-bff'!G:G, MATCH(F218,'globales-bff'!F:F, 0)), "")</f>
        <v/>
      </c>
    </row>
    <row r="219" customFormat="false" ht="12.8" hidden="false" customHeight="false" outlineLevel="0" collapsed="false">
      <c r="A219" s="0" t="s">
        <v>1936</v>
      </c>
      <c r="B219" s="0" t="s">
        <v>3496</v>
      </c>
      <c r="C219" s="0" t="n">
        <v>404</v>
      </c>
      <c r="D219" s="0" t="s">
        <v>3175</v>
      </c>
      <c r="E219" s="0" t="n">
        <v>404</v>
      </c>
      <c r="H219" s="3" t="b">
        <f aca="false">ISNUMBER(MATCH(F219,'globales-sys'!F:F, 0))</f>
        <v>0</v>
      </c>
      <c r="I219" s="1" t="str">
        <f aca="false">IFERROR(INDEX('globales-sys'!G:G, MATCH(F219,'globales-sys'!F:F, 0)), "")</f>
        <v/>
      </c>
      <c r="J219" s="3" t="b">
        <f aca="false">ISNUMBER(MATCH(F219,'globales-baas'!F:F, 0))</f>
        <v>0</v>
      </c>
      <c r="K219" s="1" t="str">
        <f aca="false">IFERROR(INDEX('globales-baas'!G:G, MATCH(F219,'globales-baas'!F:F, 0)), "")</f>
        <v/>
      </c>
      <c r="L219" s="3" t="b">
        <f aca="false">ISNUMBER(MATCH(F219,'globales-bff'!F:F, 0))</f>
        <v>0</v>
      </c>
      <c r="M219" s="1" t="str">
        <f aca="false">IFERROR(INDEX('globales-bff'!G:G, MATCH(F219,'globales-bff'!F:F, 0)), "")</f>
        <v/>
      </c>
    </row>
    <row r="220" customFormat="false" ht="12.8" hidden="false" customHeight="false" outlineLevel="0" collapsed="false">
      <c r="A220" s="0" t="s">
        <v>2733</v>
      </c>
      <c r="B220" s="0" t="s">
        <v>3497</v>
      </c>
      <c r="C220" s="0" t="n">
        <v>401</v>
      </c>
      <c r="D220" s="0" t="s">
        <v>3498</v>
      </c>
      <c r="E220" s="0" t="n">
        <v>401</v>
      </c>
      <c r="H220" s="3" t="b">
        <f aca="false">ISNUMBER(MATCH(F220,'globales-sys'!F:F, 0))</f>
        <v>0</v>
      </c>
      <c r="I220" s="1" t="str">
        <f aca="false">IFERROR(INDEX('globales-sys'!G:G, MATCH(F220,'globales-sys'!F:F, 0)), "")</f>
        <v/>
      </c>
      <c r="J220" s="3" t="b">
        <f aca="false">ISNUMBER(MATCH(F220,'globales-baas'!F:F, 0))</f>
        <v>0</v>
      </c>
      <c r="K220" s="1" t="str">
        <f aca="false">IFERROR(INDEX('globales-baas'!G:G, MATCH(F220,'globales-baas'!F:F, 0)), "")</f>
        <v/>
      </c>
      <c r="L220" s="3" t="b">
        <f aca="false">ISNUMBER(MATCH(F220,'globales-bff'!F:F, 0))</f>
        <v>0</v>
      </c>
      <c r="M220" s="1" t="str">
        <f aca="false">IFERROR(INDEX('globales-bff'!G:G, MATCH(F220,'globales-bff'!F:F, 0)), "")</f>
        <v/>
      </c>
    </row>
    <row r="221" customFormat="false" ht="12.8" hidden="false" customHeight="false" outlineLevel="0" collapsed="false">
      <c r="A221" s="0" t="s">
        <v>2934</v>
      </c>
      <c r="B221" s="0" t="s">
        <v>3499</v>
      </c>
      <c r="C221" s="0" t="n">
        <v>401</v>
      </c>
      <c r="D221" s="0" t="s">
        <v>3274</v>
      </c>
      <c r="E221" s="0" t="n">
        <v>401</v>
      </c>
      <c r="H221" s="3" t="b">
        <f aca="false">ISNUMBER(MATCH(F221,'globales-sys'!F:F, 0))</f>
        <v>0</v>
      </c>
      <c r="I221" s="1" t="str">
        <f aca="false">IFERROR(INDEX('globales-sys'!G:G, MATCH(F221,'globales-sys'!F:F, 0)), "")</f>
        <v/>
      </c>
      <c r="J221" s="3" t="b">
        <f aca="false">ISNUMBER(MATCH(F221,'globales-baas'!F:F, 0))</f>
        <v>0</v>
      </c>
      <c r="K221" s="1" t="str">
        <f aca="false">IFERROR(INDEX('globales-baas'!G:G, MATCH(F221,'globales-baas'!F:F, 0)), "")</f>
        <v/>
      </c>
      <c r="L221" s="3" t="b">
        <f aca="false">ISNUMBER(MATCH(F221,'globales-bff'!F:F, 0))</f>
        <v>0</v>
      </c>
      <c r="M221" s="1" t="str">
        <f aca="false">IFERROR(INDEX('globales-bff'!G:G, MATCH(F221,'globales-bff'!F:F, 0)), "")</f>
        <v/>
      </c>
    </row>
    <row r="222" customFormat="false" ht="12.8" hidden="false" customHeight="false" outlineLevel="0" collapsed="false">
      <c r="A222" s="0" t="s">
        <v>1800</v>
      </c>
      <c r="B222" s="0" t="s">
        <v>3500</v>
      </c>
      <c r="C222" s="0" t="n">
        <v>200</v>
      </c>
      <c r="D222" s="0" t="s">
        <v>3501</v>
      </c>
      <c r="E222" s="0" t="s">
        <v>3176</v>
      </c>
      <c r="F222" s="0" t="s">
        <v>3334</v>
      </c>
      <c r="G222" s="0" t="s">
        <v>3502</v>
      </c>
      <c r="H222" s="3" t="b">
        <f aca="false">ISNUMBER(MATCH(F222,'globales-sys'!F:F, 0))</f>
        <v>0</v>
      </c>
      <c r="I222" s="1" t="str">
        <f aca="false">IFERROR(INDEX('globales-sys'!G:G, MATCH(F222,'globales-sys'!F:F, 0)), "")</f>
        <v/>
      </c>
      <c r="J222" s="3" t="b">
        <f aca="false">ISNUMBER(MATCH(F222,'globales-baas'!F:F, 0))</f>
        <v>0</v>
      </c>
      <c r="K222" s="1" t="str">
        <f aca="false">IFERROR(INDEX('globales-baas'!G:G, MATCH(F222,'globales-baas'!F:F, 0)), "")</f>
        <v/>
      </c>
      <c r="L222" s="3" t="b">
        <f aca="false">ISNUMBER(MATCH(F222,'globales-bff'!F:F, 0))</f>
        <v>0</v>
      </c>
      <c r="M222" s="1" t="str">
        <f aca="false">IFERROR(INDEX('globales-bff'!G:G, MATCH(F222,'globales-bff'!F:F, 0)), "")</f>
        <v/>
      </c>
    </row>
    <row r="223" customFormat="false" ht="12.8" hidden="false" customHeight="false" outlineLevel="0" collapsed="false">
      <c r="H223" s="3" t="b">
        <f aca="false">ISNUMBER(MATCH(F223,'globales-sys'!F:F, 0))</f>
        <v>0</v>
      </c>
      <c r="I223" s="1" t="str">
        <f aca="false">IFERROR(INDEX('globales-sys'!G:G, MATCH(F223,'globales-sys'!F:F, 0)), "")</f>
        <v/>
      </c>
      <c r="J223" s="3" t="b">
        <f aca="false">ISNUMBER(MATCH(F223,'globales-baas'!F:F, 0))</f>
        <v>0</v>
      </c>
      <c r="K223" s="1" t="str">
        <f aca="false">IFERROR(INDEX('globales-baas'!G:G, MATCH(F223,'globales-baas'!F:F, 0)), "")</f>
        <v/>
      </c>
      <c r="L223" s="3" t="b">
        <f aca="false">ISNUMBER(MATCH(F223,'globales-bff'!F:F, 0))</f>
        <v>0</v>
      </c>
      <c r="M223" s="1" t="str">
        <f aca="false">IFERROR(INDEX('globales-bff'!G:G, MATCH(F223,'globales-bff'!F:F, 0)), "")</f>
        <v/>
      </c>
    </row>
    <row r="224" customFormat="false" ht="12.8" hidden="false" customHeight="false" outlineLevel="0" collapsed="false">
      <c r="H224" s="3" t="b">
        <f aca="false">ISNUMBER(MATCH(F224,'globales-sys'!F:F, 0))</f>
        <v>0</v>
      </c>
      <c r="I224" s="1" t="str">
        <f aca="false">IFERROR(INDEX('globales-sys'!G:G, MATCH(F224,'globales-sys'!F:F, 0)), "")</f>
        <v/>
      </c>
      <c r="J224" s="3" t="b">
        <f aca="false">ISNUMBER(MATCH(F224,'globales-baas'!F:F, 0))</f>
        <v>0</v>
      </c>
      <c r="K224" s="1" t="str">
        <f aca="false">IFERROR(INDEX('globales-baas'!G:G, MATCH(F224,'globales-baas'!F:F, 0)), "")</f>
        <v/>
      </c>
      <c r="L224" s="3" t="b">
        <f aca="false">ISNUMBER(MATCH(F224,'globales-bff'!F:F, 0))</f>
        <v>0</v>
      </c>
      <c r="M224" s="1" t="str">
        <f aca="false">IFERROR(INDEX('globales-bff'!G:G, MATCH(F224,'globales-bff'!F:F, 0)), "")</f>
        <v/>
      </c>
    </row>
    <row r="225" customFormat="false" ht="12.8" hidden="false" customHeight="false" outlineLevel="0" collapsed="false">
      <c r="H225" s="3" t="b">
        <f aca="false">ISNUMBER(MATCH(F225,'globales-sys'!F:F, 0))</f>
        <v>0</v>
      </c>
      <c r="I225" s="1" t="str">
        <f aca="false">IFERROR(INDEX('globales-sys'!G:G, MATCH(F225,'globales-sys'!F:F, 0)), "")</f>
        <v/>
      </c>
      <c r="J225" s="3" t="b">
        <f aca="false">ISNUMBER(MATCH(F225,'globales-baas'!F:F, 0))</f>
        <v>0</v>
      </c>
      <c r="K225" s="1" t="str">
        <f aca="false">IFERROR(INDEX('globales-baas'!G:G, MATCH(F225,'globales-baas'!F:F, 0)), "")</f>
        <v/>
      </c>
      <c r="L225" s="3" t="b">
        <f aca="false">ISNUMBER(MATCH(F225,'globales-bff'!F:F, 0))</f>
        <v>0</v>
      </c>
      <c r="M225" s="1" t="str">
        <f aca="false">IFERROR(INDEX('globales-bff'!G:G, MATCH(F225,'globales-bff'!F:F, 0)), "")</f>
        <v/>
      </c>
    </row>
    <row r="226" customFormat="false" ht="12.8" hidden="false" customHeight="false" outlineLevel="0" collapsed="false">
      <c r="H226" s="3" t="b">
        <f aca="false">ISNUMBER(MATCH(F226,'globales-sys'!F:F, 0))</f>
        <v>0</v>
      </c>
      <c r="I226" s="1" t="str">
        <f aca="false">IFERROR(INDEX('globales-sys'!G:G, MATCH(F226,'globales-sys'!F:F, 0)), "")</f>
        <v/>
      </c>
      <c r="J226" s="3" t="b">
        <f aca="false">ISNUMBER(MATCH(F226,'globales-baas'!F:F, 0))</f>
        <v>0</v>
      </c>
      <c r="K226" s="1" t="str">
        <f aca="false">IFERROR(INDEX('globales-baas'!G:G, MATCH(F226,'globales-baas'!F:F, 0)), "")</f>
        <v/>
      </c>
      <c r="L226" s="3" t="b">
        <f aca="false">ISNUMBER(MATCH(F226,'globales-bff'!F:F, 0))</f>
        <v>0</v>
      </c>
      <c r="M226" s="1" t="str">
        <f aca="false">IFERROR(INDEX('globales-bff'!G:G, MATCH(F226,'globales-bff'!F:F, 0)), "")</f>
        <v/>
      </c>
    </row>
    <row r="227" customFormat="false" ht="12.8" hidden="false" customHeight="false" outlineLevel="0" collapsed="false">
      <c r="H227" s="3" t="b">
        <f aca="false">ISNUMBER(MATCH(F227,'globales-sys'!F:F, 0))</f>
        <v>0</v>
      </c>
      <c r="I227" s="1" t="str">
        <f aca="false">IFERROR(INDEX('globales-sys'!G:G, MATCH(F227,'globales-sys'!F:F, 0)), "")</f>
        <v/>
      </c>
      <c r="J227" s="3" t="b">
        <f aca="false">ISNUMBER(MATCH(F227,'globales-baas'!F:F, 0))</f>
        <v>0</v>
      </c>
      <c r="K227" s="1" t="str">
        <f aca="false">IFERROR(INDEX('globales-baas'!G:G, MATCH(F227,'globales-baas'!F:F, 0)), "")</f>
        <v/>
      </c>
      <c r="L227" s="3" t="b">
        <f aca="false">ISNUMBER(MATCH(F227,'globales-bff'!F:F, 0))</f>
        <v>0</v>
      </c>
      <c r="M227" s="1" t="str">
        <f aca="false">IFERROR(INDEX('globales-bff'!G:G, MATCH(F227,'globales-bff'!F:F, 0)), "")</f>
        <v/>
      </c>
    </row>
    <row r="228" customFormat="false" ht="12.8" hidden="false" customHeight="false" outlineLevel="0" collapsed="false">
      <c r="H228" s="3" t="b">
        <f aca="false">ISNUMBER(MATCH(F228,'globales-sys'!F:F, 0))</f>
        <v>0</v>
      </c>
      <c r="I228" s="1" t="str">
        <f aca="false">IFERROR(INDEX('globales-sys'!G:G, MATCH(F228,'globales-sys'!F:F, 0)), "")</f>
        <v/>
      </c>
      <c r="J228" s="3" t="b">
        <f aca="false">ISNUMBER(MATCH(F228,'globales-baas'!F:F, 0))</f>
        <v>0</v>
      </c>
      <c r="K228" s="1" t="str">
        <f aca="false">IFERROR(INDEX('globales-baas'!G:G, MATCH(F228,'globales-baas'!F:F, 0)), "")</f>
        <v/>
      </c>
      <c r="L228" s="3" t="b">
        <f aca="false">ISNUMBER(MATCH(F228,'globales-bff'!F:F, 0))</f>
        <v>0</v>
      </c>
      <c r="M228" s="1" t="str">
        <f aca="false">IFERROR(INDEX('globales-bff'!G:G, MATCH(F228,'globales-bff'!F:F, 0)), "")</f>
        <v/>
      </c>
    </row>
    <row r="229" customFormat="false" ht="12.8" hidden="false" customHeight="false" outlineLevel="0" collapsed="false">
      <c r="H229" s="3" t="b">
        <f aca="false">ISNUMBER(MATCH(F229,'globales-sys'!F:F, 0))</f>
        <v>0</v>
      </c>
      <c r="I229" s="1" t="str">
        <f aca="false">IFERROR(INDEX('globales-sys'!G:G, MATCH(F229,'globales-sys'!F:F, 0)), "")</f>
        <v/>
      </c>
      <c r="J229" s="3" t="b">
        <f aca="false">ISNUMBER(MATCH(F229,'globales-baas'!F:F, 0))</f>
        <v>0</v>
      </c>
      <c r="K229" s="1" t="str">
        <f aca="false">IFERROR(INDEX('globales-baas'!G:G, MATCH(F229,'globales-baas'!F:F, 0)), "")</f>
        <v/>
      </c>
      <c r="L229" s="3" t="b">
        <f aca="false">ISNUMBER(MATCH(F229,'globales-bff'!F:F, 0))</f>
        <v>0</v>
      </c>
      <c r="M229" s="1" t="str">
        <f aca="false">IFERROR(INDEX('globales-bff'!G:G, MATCH(F229,'globales-bff'!F:F, 0)), "")</f>
        <v/>
      </c>
    </row>
    <row r="230" customFormat="false" ht="12.8" hidden="false" customHeight="false" outlineLevel="0" collapsed="false">
      <c r="H230" s="3" t="b">
        <f aca="false">ISNUMBER(MATCH(F230,'globales-sys'!F:F, 0))</f>
        <v>0</v>
      </c>
      <c r="I230" s="1" t="str">
        <f aca="false">IFERROR(INDEX('globales-sys'!G:G, MATCH(F230,'globales-sys'!F:F, 0)), "")</f>
        <v/>
      </c>
      <c r="J230" s="3" t="b">
        <f aca="false">ISNUMBER(MATCH(F230,'globales-baas'!F:F, 0))</f>
        <v>0</v>
      </c>
      <c r="K230" s="1" t="str">
        <f aca="false">IFERROR(INDEX('globales-baas'!G:G, MATCH(F230,'globales-baas'!F:F, 0)), "")</f>
        <v/>
      </c>
      <c r="L230" s="3" t="b">
        <f aca="false">ISNUMBER(MATCH(F230,'globales-bff'!F:F, 0))</f>
        <v>0</v>
      </c>
      <c r="M230" s="1" t="str">
        <f aca="false">IFERROR(INDEX('globales-bff'!G:G, MATCH(F230,'globales-bff'!F:F, 0)), "")</f>
        <v/>
      </c>
    </row>
    <row r="231" customFormat="false" ht="12.8" hidden="false" customHeight="false" outlineLevel="0" collapsed="false">
      <c r="H231" s="3" t="b">
        <f aca="false">ISNUMBER(MATCH(F231,'globales-sys'!F:F, 0))</f>
        <v>0</v>
      </c>
      <c r="I231" s="1" t="str">
        <f aca="false">IFERROR(INDEX('globales-sys'!G:G, MATCH(F231,'globales-sys'!F:F, 0)), "")</f>
        <v/>
      </c>
      <c r="J231" s="3" t="b">
        <f aca="false">ISNUMBER(MATCH(F231,'globales-baas'!F:F, 0))</f>
        <v>0</v>
      </c>
      <c r="K231" s="1" t="str">
        <f aca="false">IFERROR(INDEX('globales-baas'!G:G, MATCH(F231,'globales-baas'!F:F, 0)), "")</f>
        <v/>
      </c>
      <c r="L231" s="3" t="b">
        <f aca="false">ISNUMBER(MATCH(F231,'globales-bff'!F:F, 0))</f>
        <v>0</v>
      </c>
      <c r="M231" s="1" t="str">
        <f aca="false">IFERROR(INDEX('globales-bff'!G:G, MATCH(F231,'globales-bff'!F:F, 0)), "")</f>
        <v/>
      </c>
    </row>
    <row r="232" customFormat="false" ht="12.8" hidden="false" customHeight="false" outlineLevel="0" collapsed="false">
      <c r="H232" s="3" t="b">
        <f aca="false">ISNUMBER(MATCH(F232,'globales-sys'!F:F, 0))</f>
        <v>0</v>
      </c>
      <c r="I232" s="1" t="str">
        <f aca="false">IFERROR(INDEX('globales-sys'!G:G, MATCH(F232,'globales-sys'!F:F, 0)), "")</f>
        <v/>
      </c>
      <c r="J232" s="3" t="b">
        <f aca="false">ISNUMBER(MATCH(F232,'globales-baas'!F:F, 0))</f>
        <v>0</v>
      </c>
      <c r="K232" s="1" t="str">
        <f aca="false">IFERROR(INDEX('globales-baas'!G:G, MATCH(F232,'globales-baas'!F:F, 0)), "")</f>
        <v/>
      </c>
      <c r="L232" s="3" t="b">
        <f aca="false">ISNUMBER(MATCH(F232,'globales-bff'!F:F, 0))</f>
        <v>0</v>
      </c>
      <c r="M232" s="1" t="str">
        <f aca="false">IFERROR(INDEX('globales-bff'!G:G, MATCH(F232,'globales-bff'!F:F, 0)), "")</f>
        <v/>
      </c>
    </row>
    <row r="233" customFormat="false" ht="12.8" hidden="false" customHeight="false" outlineLevel="0" collapsed="false">
      <c r="H233" s="3" t="b">
        <f aca="false">ISNUMBER(MATCH(F233,'globales-sys'!F:F, 0))</f>
        <v>0</v>
      </c>
      <c r="I233" s="1" t="str">
        <f aca="false">IFERROR(INDEX('globales-sys'!G:G, MATCH(F233,'globales-sys'!F:F, 0)), "")</f>
        <v/>
      </c>
      <c r="J233" s="3" t="b">
        <f aca="false">ISNUMBER(MATCH(F233,'globales-baas'!F:F, 0))</f>
        <v>0</v>
      </c>
      <c r="K233" s="1" t="str">
        <f aca="false">IFERROR(INDEX('globales-baas'!G:G, MATCH(F233,'globales-baas'!F:F, 0)), "")</f>
        <v/>
      </c>
      <c r="L233" s="3" t="b">
        <f aca="false">ISNUMBER(MATCH(F233,'globales-bff'!F:F, 0))</f>
        <v>0</v>
      </c>
      <c r="M233" s="1" t="str">
        <f aca="false">IFERROR(INDEX('globales-bff'!G:G, MATCH(F233,'globales-bff'!F:F, 0)), "")</f>
        <v/>
      </c>
    </row>
    <row r="234" customFormat="false" ht="12.8" hidden="false" customHeight="false" outlineLevel="0" collapsed="false">
      <c r="H234" s="3" t="b">
        <f aca="false">ISNUMBER(MATCH(F234,'globales-sys'!F:F, 0))</f>
        <v>0</v>
      </c>
      <c r="I234" s="1" t="str">
        <f aca="false">IFERROR(INDEX('globales-sys'!G:G, MATCH(F234,'globales-sys'!F:F, 0)), "")</f>
        <v/>
      </c>
      <c r="J234" s="3" t="b">
        <f aca="false">ISNUMBER(MATCH(F234,'globales-baas'!F:F, 0))</f>
        <v>0</v>
      </c>
      <c r="K234" s="1" t="str">
        <f aca="false">IFERROR(INDEX('globales-baas'!G:G, MATCH(F234,'globales-baas'!F:F, 0)), "")</f>
        <v/>
      </c>
      <c r="L234" s="3" t="b">
        <f aca="false">ISNUMBER(MATCH(F234,'globales-bff'!F:F, 0))</f>
        <v>0</v>
      </c>
      <c r="M234" s="1" t="str">
        <f aca="false">IFERROR(INDEX('globales-bff'!G:G, MATCH(F234,'globales-bff'!F:F, 0)), "")</f>
        <v/>
      </c>
    </row>
    <row r="235" customFormat="false" ht="12.8" hidden="false" customHeight="false" outlineLevel="0" collapsed="false">
      <c r="H235" s="3" t="b">
        <f aca="false">ISNUMBER(MATCH(F235,'globales-sys'!F:F, 0))</f>
        <v>0</v>
      </c>
      <c r="I235" s="1" t="str">
        <f aca="false">IFERROR(INDEX('globales-sys'!G:G, MATCH(F235,'globales-sys'!F:F, 0)), "")</f>
        <v/>
      </c>
      <c r="J235" s="3" t="b">
        <f aca="false">ISNUMBER(MATCH(F235,'globales-baas'!F:F, 0))</f>
        <v>0</v>
      </c>
      <c r="K235" s="1" t="str">
        <f aca="false">IFERROR(INDEX('globales-baas'!G:G, MATCH(F235,'globales-baas'!F:F, 0)), "")</f>
        <v/>
      </c>
      <c r="L235" s="3" t="b">
        <f aca="false">ISNUMBER(MATCH(F235,'globales-bff'!F:F, 0))</f>
        <v>0</v>
      </c>
      <c r="M235" s="1" t="str">
        <f aca="false">IFERROR(INDEX('globales-bff'!G:G, MATCH(F235,'globales-bff'!F:F, 0)), "")</f>
        <v/>
      </c>
    </row>
    <row r="236" customFormat="false" ht="12.8" hidden="false" customHeight="false" outlineLevel="0" collapsed="false">
      <c r="H236" s="3" t="b">
        <f aca="false">ISNUMBER(MATCH(F236,'globales-sys'!F:F, 0))</f>
        <v>0</v>
      </c>
      <c r="I236" s="1" t="str">
        <f aca="false">IFERROR(INDEX('globales-sys'!G:G, MATCH(F236,'globales-sys'!F:F, 0)), "")</f>
        <v/>
      </c>
      <c r="J236" s="3" t="b">
        <f aca="false">ISNUMBER(MATCH(F236,'globales-baas'!F:F, 0))</f>
        <v>0</v>
      </c>
      <c r="K236" s="1" t="str">
        <f aca="false">IFERROR(INDEX('globales-baas'!G:G, MATCH(F236,'globales-baas'!F:F, 0)), "")</f>
        <v/>
      </c>
      <c r="L236" s="3" t="b">
        <f aca="false">ISNUMBER(MATCH(F236,'globales-bff'!F:F, 0))</f>
        <v>0</v>
      </c>
      <c r="M236" s="1" t="str">
        <f aca="false">IFERROR(INDEX('globales-bff'!G:G, MATCH(F236,'globales-bff'!F:F, 0)), "")</f>
        <v/>
      </c>
    </row>
    <row r="237" customFormat="false" ht="12.8" hidden="false" customHeight="false" outlineLevel="0" collapsed="false">
      <c r="H237" s="3" t="b">
        <f aca="false">ISNUMBER(MATCH(F237,'globales-sys'!F:F, 0))</f>
        <v>0</v>
      </c>
      <c r="I237" s="1" t="str">
        <f aca="false">IFERROR(INDEX('globales-sys'!G:G, MATCH(F237,'globales-sys'!F:F, 0)), "")</f>
        <v/>
      </c>
      <c r="J237" s="3" t="b">
        <f aca="false">ISNUMBER(MATCH(F237,'globales-baas'!F:F, 0))</f>
        <v>0</v>
      </c>
      <c r="K237" s="1" t="str">
        <f aca="false">IFERROR(INDEX('globales-baas'!G:G, MATCH(F237,'globales-baas'!F:F, 0)), "")</f>
        <v/>
      </c>
      <c r="L237" s="3" t="b">
        <f aca="false">ISNUMBER(MATCH(F237,'globales-bff'!F:F, 0))</f>
        <v>0</v>
      </c>
      <c r="M237" s="1" t="str">
        <f aca="false">IFERROR(INDEX('globales-bff'!G:G, MATCH(F237,'globales-bff'!F:F, 0)), "")</f>
        <v/>
      </c>
    </row>
    <row r="238" customFormat="false" ht="12.8" hidden="false" customHeight="false" outlineLevel="0" collapsed="false">
      <c r="H238" s="3" t="b">
        <f aca="false">ISNUMBER(MATCH(F238,'globales-sys'!F:F, 0))</f>
        <v>0</v>
      </c>
      <c r="I238" s="1" t="str">
        <f aca="false">IFERROR(INDEX('globales-sys'!G:G, MATCH(F238,'globales-sys'!F:F, 0)), "")</f>
        <v/>
      </c>
      <c r="J238" s="3" t="b">
        <f aca="false">ISNUMBER(MATCH(F238,'globales-baas'!F:F, 0))</f>
        <v>0</v>
      </c>
      <c r="K238" s="1" t="str">
        <f aca="false">IFERROR(INDEX('globales-baas'!G:G, MATCH(F238,'globales-baas'!F:F, 0)), "")</f>
        <v/>
      </c>
      <c r="L238" s="3" t="b">
        <f aca="false">ISNUMBER(MATCH(F238,'globales-bff'!F:F, 0))</f>
        <v>0</v>
      </c>
      <c r="M238" s="1" t="str">
        <f aca="false">IFERROR(INDEX('globales-bff'!G:G, MATCH(F238,'globales-bff'!F:F, 0)), "")</f>
        <v/>
      </c>
    </row>
    <row r="239" customFormat="false" ht="12.8" hidden="false" customHeight="false" outlineLevel="0" collapsed="false">
      <c r="H239" s="3" t="b">
        <f aca="false">ISNUMBER(MATCH(F239,'globales-sys'!F:F, 0))</f>
        <v>0</v>
      </c>
      <c r="I239" s="1" t="str">
        <f aca="false">IFERROR(INDEX('globales-sys'!G:G, MATCH(F239,'globales-sys'!F:F, 0)), "")</f>
        <v/>
      </c>
      <c r="J239" s="3" t="b">
        <f aca="false">ISNUMBER(MATCH(F239,'globales-baas'!F:F, 0))</f>
        <v>0</v>
      </c>
      <c r="K239" s="1" t="str">
        <f aca="false">IFERROR(INDEX('globales-baas'!G:G, MATCH(F239,'globales-baas'!F:F, 0)), "")</f>
        <v/>
      </c>
      <c r="L239" s="3" t="b">
        <f aca="false">ISNUMBER(MATCH(F239,'globales-bff'!F:F, 0))</f>
        <v>0</v>
      </c>
      <c r="M239" s="1" t="str">
        <f aca="false">IFERROR(INDEX('globales-bff'!G:G, MATCH(F239,'globales-bff'!F:F, 0)), "")</f>
        <v/>
      </c>
    </row>
    <row r="240" customFormat="false" ht="12.8" hidden="false" customHeight="false" outlineLevel="0" collapsed="false">
      <c r="H240" s="3" t="b">
        <f aca="false">ISNUMBER(MATCH(F240,'globales-sys'!F:F, 0))</f>
        <v>0</v>
      </c>
      <c r="I240" s="1" t="str">
        <f aca="false">IFERROR(INDEX('globales-sys'!G:G, MATCH(F240,'globales-sys'!F:F, 0)), "")</f>
        <v/>
      </c>
      <c r="J240" s="3" t="b">
        <f aca="false">ISNUMBER(MATCH(F240,'globales-baas'!F:F, 0))</f>
        <v>0</v>
      </c>
      <c r="K240" s="1" t="str">
        <f aca="false">IFERROR(INDEX('globales-baas'!G:G, MATCH(F240,'globales-baas'!F:F, 0)), "")</f>
        <v/>
      </c>
      <c r="L240" s="3" t="b">
        <f aca="false">ISNUMBER(MATCH(F240,'globales-bff'!F:F, 0))</f>
        <v>0</v>
      </c>
      <c r="M240" s="1" t="str">
        <f aca="false">IFERROR(INDEX('globales-bff'!G:G, MATCH(F240,'globales-bff'!F:F, 0)), "")</f>
        <v/>
      </c>
    </row>
    <row r="241" customFormat="false" ht="12.8" hidden="false" customHeight="false" outlineLevel="0" collapsed="false">
      <c r="H241" s="3" t="b">
        <f aca="false">ISNUMBER(MATCH(F241,'globales-sys'!F:F, 0))</f>
        <v>0</v>
      </c>
      <c r="I241" s="1" t="str">
        <f aca="false">IFERROR(INDEX('globales-sys'!G:G, MATCH(F241,'globales-sys'!F:F, 0)), "")</f>
        <v/>
      </c>
      <c r="J241" s="3" t="b">
        <f aca="false">ISNUMBER(MATCH(F241,'globales-baas'!F:F, 0))</f>
        <v>0</v>
      </c>
      <c r="K241" s="1" t="str">
        <f aca="false">IFERROR(INDEX('globales-baas'!G:G, MATCH(F241,'globales-baas'!F:F, 0)), "")</f>
        <v/>
      </c>
      <c r="L241" s="3" t="b">
        <f aca="false">ISNUMBER(MATCH(F241,'globales-bff'!F:F, 0))</f>
        <v>0</v>
      </c>
      <c r="M241" s="1" t="str">
        <f aca="false">IFERROR(INDEX('globales-bff'!G:G, MATCH(F241,'globales-bff'!F:F, 0)), "")</f>
        <v/>
      </c>
    </row>
    <row r="242" customFormat="false" ht="12.8" hidden="false" customHeight="false" outlineLevel="0" collapsed="false">
      <c r="H242" s="3" t="b">
        <f aca="false">ISNUMBER(MATCH(F242,'globales-sys'!F:F, 0))</f>
        <v>0</v>
      </c>
      <c r="I242" s="1" t="str">
        <f aca="false">IFERROR(INDEX('globales-sys'!G:G, MATCH(F242,'globales-sys'!F:F, 0)), "")</f>
        <v/>
      </c>
      <c r="J242" s="3" t="b">
        <f aca="false">ISNUMBER(MATCH(F242,'globales-baas'!F:F, 0))</f>
        <v>0</v>
      </c>
      <c r="K242" s="1" t="str">
        <f aca="false">IFERROR(INDEX('globales-baas'!G:G, MATCH(F242,'globales-baas'!F:F, 0)), "")</f>
        <v/>
      </c>
      <c r="L242" s="3" t="b">
        <f aca="false">ISNUMBER(MATCH(F242,'globales-bff'!F:F, 0))</f>
        <v>0</v>
      </c>
      <c r="M242" s="1" t="str">
        <f aca="false">IFERROR(INDEX('globales-bff'!G:G, MATCH(F242,'globales-bff'!F:F, 0)), "")</f>
        <v/>
      </c>
    </row>
    <row r="243" customFormat="false" ht="12.8" hidden="false" customHeight="false" outlineLevel="0" collapsed="false">
      <c r="H243" s="3" t="b">
        <f aca="false">ISNUMBER(MATCH(F243,'globales-sys'!F:F, 0))</f>
        <v>0</v>
      </c>
      <c r="I243" s="1" t="str">
        <f aca="false">IFERROR(INDEX('globales-sys'!G:G, MATCH(F243,'globales-sys'!F:F, 0)), "")</f>
        <v/>
      </c>
      <c r="J243" s="3" t="b">
        <f aca="false">ISNUMBER(MATCH(F243,'globales-baas'!F:F, 0))</f>
        <v>0</v>
      </c>
      <c r="K243" s="1" t="str">
        <f aca="false">IFERROR(INDEX('globales-baas'!G:G, MATCH(F243,'globales-baas'!F:F, 0)), "")</f>
        <v/>
      </c>
      <c r="L243" s="3" t="b">
        <f aca="false">ISNUMBER(MATCH(F243,'globales-bff'!F:F, 0))</f>
        <v>0</v>
      </c>
      <c r="M243" s="1" t="str">
        <f aca="false">IFERROR(INDEX('globales-bff'!G:G, MATCH(F243,'globales-bff'!F:F, 0)), "")</f>
        <v/>
      </c>
    </row>
    <row r="244" customFormat="false" ht="12.8" hidden="false" customHeight="false" outlineLevel="0" collapsed="false">
      <c r="H244" s="3" t="b">
        <f aca="false">ISNUMBER(MATCH(F244,'globales-sys'!F:F, 0))</f>
        <v>0</v>
      </c>
      <c r="I244" s="1" t="str">
        <f aca="false">IFERROR(INDEX('globales-sys'!G:G, MATCH(F244,'globales-sys'!F:F, 0)), "")</f>
        <v/>
      </c>
      <c r="J244" s="3" t="b">
        <f aca="false">ISNUMBER(MATCH(F244,'globales-baas'!F:F, 0))</f>
        <v>0</v>
      </c>
      <c r="K244" s="1" t="str">
        <f aca="false">IFERROR(INDEX('globales-baas'!G:G, MATCH(F244,'globales-baas'!F:F, 0)), "")</f>
        <v/>
      </c>
      <c r="L244" s="3" t="b">
        <f aca="false">ISNUMBER(MATCH(F244,'globales-bff'!F:F, 0))</f>
        <v>0</v>
      </c>
      <c r="M244" s="1" t="str">
        <f aca="false">IFERROR(INDEX('globales-bff'!G:G, MATCH(F244,'globales-bff'!F:F, 0)), "")</f>
        <v/>
      </c>
    </row>
    <row r="245" customFormat="false" ht="12.8" hidden="false" customHeight="false" outlineLevel="0" collapsed="false">
      <c r="H245" s="3" t="b">
        <f aca="false">ISNUMBER(MATCH(F245,'globales-sys'!F:F, 0))</f>
        <v>0</v>
      </c>
      <c r="I245" s="1" t="str">
        <f aca="false">IFERROR(INDEX('globales-sys'!G:G, MATCH(F245,'globales-sys'!F:F, 0)), "")</f>
        <v/>
      </c>
      <c r="J245" s="3" t="b">
        <f aca="false">ISNUMBER(MATCH(F245,'globales-baas'!F:F, 0))</f>
        <v>0</v>
      </c>
      <c r="K245" s="1" t="str">
        <f aca="false">IFERROR(INDEX('globales-baas'!G:G, MATCH(F245,'globales-baas'!F:F, 0)), "")</f>
        <v/>
      </c>
      <c r="L245" s="3" t="b">
        <f aca="false">ISNUMBER(MATCH(F245,'globales-bff'!F:F, 0))</f>
        <v>0</v>
      </c>
      <c r="M245" s="1" t="str">
        <f aca="false">IFERROR(INDEX('globales-bff'!G:G, MATCH(F245,'globales-bff'!F:F, 0)), "")</f>
        <v/>
      </c>
    </row>
    <row r="246" customFormat="false" ht="12.8" hidden="false" customHeight="false" outlineLevel="0" collapsed="false">
      <c r="H246" s="3" t="b">
        <f aca="false">ISNUMBER(MATCH(F246,'globales-sys'!F:F, 0))</f>
        <v>0</v>
      </c>
      <c r="I246" s="1" t="str">
        <f aca="false">IFERROR(INDEX('globales-sys'!G:G, MATCH(F246,'globales-sys'!F:F, 0)), "")</f>
        <v/>
      </c>
      <c r="J246" s="3" t="b">
        <f aca="false">ISNUMBER(MATCH(F246,'globales-baas'!F:F, 0))</f>
        <v>0</v>
      </c>
      <c r="K246" s="1" t="str">
        <f aca="false">IFERROR(INDEX('globales-baas'!G:G, MATCH(F246,'globales-baas'!F:F, 0)), "")</f>
        <v/>
      </c>
      <c r="L246" s="3" t="b">
        <f aca="false">ISNUMBER(MATCH(F246,'globales-bff'!F:F, 0))</f>
        <v>0</v>
      </c>
      <c r="M246" s="1" t="str">
        <f aca="false">IFERROR(INDEX('globales-bff'!G:G, MATCH(F246,'globales-bff'!F:F, 0)), "")</f>
        <v/>
      </c>
    </row>
    <row r="247" customFormat="false" ht="12.8" hidden="false" customHeight="false" outlineLevel="0" collapsed="false">
      <c r="H247" s="3" t="b">
        <f aca="false">ISNUMBER(MATCH(F247,'globales-sys'!F:F, 0))</f>
        <v>0</v>
      </c>
      <c r="I247" s="1" t="str">
        <f aca="false">IFERROR(INDEX('globales-sys'!G:G, MATCH(F247,'globales-sys'!F:F, 0)), "")</f>
        <v/>
      </c>
      <c r="J247" s="3" t="b">
        <f aca="false">ISNUMBER(MATCH(F247,'globales-baas'!F:F, 0))</f>
        <v>0</v>
      </c>
      <c r="K247" s="1" t="str">
        <f aca="false">IFERROR(INDEX('globales-baas'!G:G, MATCH(F247,'globales-baas'!F:F, 0)), "")</f>
        <v/>
      </c>
      <c r="L247" s="3" t="b">
        <f aca="false">ISNUMBER(MATCH(F247,'globales-bff'!F:F, 0))</f>
        <v>0</v>
      </c>
      <c r="M247" s="1" t="str">
        <f aca="false">IFERROR(INDEX('globales-bff'!G:G, MATCH(F247,'globales-bff'!F:F, 0)), "")</f>
        <v/>
      </c>
    </row>
    <row r="248" customFormat="false" ht="12.8" hidden="false" customHeight="false" outlineLevel="0" collapsed="false">
      <c r="H248" s="3" t="b">
        <f aca="false">ISNUMBER(MATCH(F248,'globales-sys'!F:F, 0))</f>
        <v>0</v>
      </c>
      <c r="I248" s="1" t="str">
        <f aca="false">IFERROR(INDEX('globales-sys'!G:G, MATCH(F248,'globales-sys'!F:F, 0)), "")</f>
        <v/>
      </c>
      <c r="J248" s="3" t="b">
        <f aca="false">ISNUMBER(MATCH(F248,'globales-baas'!F:F, 0))</f>
        <v>0</v>
      </c>
      <c r="K248" s="1" t="str">
        <f aca="false">IFERROR(INDEX('globales-baas'!G:G, MATCH(F248,'globales-baas'!F:F, 0)), "")</f>
        <v/>
      </c>
      <c r="L248" s="3" t="b">
        <f aca="false">ISNUMBER(MATCH(F248,'globales-bff'!F:F, 0))</f>
        <v>0</v>
      </c>
      <c r="M248" s="1" t="str">
        <f aca="false">IFERROR(INDEX('globales-bff'!G:G, MATCH(F248,'globales-bff'!F:F, 0)), "")</f>
        <v/>
      </c>
    </row>
    <row r="249" customFormat="false" ht="12.8" hidden="false" customHeight="false" outlineLevel="0" collapsed="false">
      <c r="H249" s="3" t="b">
        <f aca="false">ISNUMBER(MATCH(F249,'globales-sys'!F:F, 0))</f>
        <v>0</v>
      </c>
      <c r="I249" s="1" t="str">
        <f aca="false">IFERROR(INDEX('globales-sys'!G:G, MATCH(F249,'globales-sys'!F:F, 0)), "")</f>
        <v/>
      </c>
      <c r="J249" s="3" t="b">
        <f aca="false">ISNUMBER(MATCH(F249,'globales-baas'!F:F, 0))</f>
        <v>0</v>
      </c>
      <c r="K249" s="1" t="str">
        <f aca="false">IFERROR(INDEX('globales-baas'!G:G, MATCH(F249,'globales-baas'!F:F, 0)), "")</f>
        <v/>
      </c>
      <c r="L249" s="3" t="b">
        <f aca="false">ISNUMBER(MATCH(F249,'globales-bff'!F:F, 0))</f>
        <v>0</v>
      </c>
      <c r="M249" s="1" t="str">
        <f aca="false">IFERROR(INDEX('globales-bff'!G:G, MATCH(F249,'globales-bff'!F:F, 0)), "")</f>
        <v/>
      </c>
    </row>
    <row r="250" customFormat="false" ht="12.8" hidden="false" customHeight="false" outlineLevel="0" collapsed="false">
      <c r="H250" s="3" t="b">
        <f aca="false">ISNUMBER(MATCH(F250,'globales-sys'!F:F, 0))</f>
        <v>0</v>
      </c>
      <c r="I250" s="1" t="str">
        <f aca="false">IFERROR(INDEX('globales-sys'!G:G, MATCH(F250,'globales-sys'!F:F, 0)), "")</f>
        <v/>
      </c>
      <c r="J250" s="3" t="b">
        <f aca="false">ISNUMBER(MATCH(F250,'globales-baas'!F:F, 0))</f>
        <v>0</v>
      </c>
      <c r="K250" s="1" t="str">
        <f aca="false">IFERROR(INDEX('globales-baas'!G:G, MATCH(F250,'globales-baas'!F:F, 0)), "")</f>
        <v/>
      </c>
      <c r="L250" s="3" t="b">
        <f aca="false">ISNUMBER(MATCH(F250,'globales-bff'!F:F, 0))</f>
        <v>0</v>
      </c>
      <c r="M250" s="1" t="str">
        <f aca="false">IFERROR(INDEX('globales-bff'!G:G, MATCH(F250,'globales-bff'!F:F, 0)), "")</f>
        <v/>
      </c>
    </row>
    <row r="251" customFormat="false" ht="12.8" hidden="false" customHeight="false" outlineLevel="0" collapsed="false">
      <c r="H251" s="3" t="b">
        <f aca="false">ISNUMBER(MATCH(F251,'globales-sys'!F:F, 0))</f>
        <v>0</v>
      </c>
      <c r="I251" s="1" t="str">
        <f aca="false">IFERROR(INDEX('globales-sys'!G:G, MATCH(F251,'globales-sys'!F:F, 0)), "")</f>
        <v/>
      </c>
      <c r="J251" s="3" t="b">
        <f aca="false">ISNUMBER(MATCH(F251,'globales-baas'!F:F, 0))</f>
        <v>0</v>
      </c>
      <c r="K251" s="1" t="str">
        <f aca="false">IFERROR(INDEX('globales-baas'!G:G, MATCH(F251,'globales-baas'!F:F, 0)), "")</f>
        <v/>
      </c>
      <c r="L251" s="3" t="b">
        <f aca="false">ISNUMBER(MATCH(F251,'globales-bff'!F:F, 0))</f>
        <v>0</v>
      </c>
      <c r="M251" s="1" t="str">
        <f aca="false">IFERROR(INDEX('globales-bff'!G:G, MATCH(F251,'globales-bff'!F:F, 0)), "")</f>
        <v/>
      </c>
    </row>
    <row r="252" customFormat="false" ht="12.8" hidden="false" customHeight="false" outlineLevel="0" collapsed="false">
      <c r="H252" s="3" t="b">
        <f aca="false">ISNUMBER(MATCH(F252,'globales-sys'!F:F, 0))</f>
        <v>0</v>
      </c>
      <c r="I252" s="1" t="str">
        <f aca="false">IFERROR(INDEX('globales-sys'!G:G, MATCH(F252,'globales-sys'!F:F, 0)), "")</f>
        <v/>
      </c>
      <c r="J252" s="3" t="b">
        <f aca="false">ISNUMBER(MATCH(F252,'globales-baas'!F:F, 0))</f>
        <v>0</v>
      </c>
      <c r="K252" s="1" t="str">
        <f aca="false">IFERROR(INDEX('globales-baas'!G:G, MATCH(F252,'globales-baas'!F:F, 0)), "")</f>
        <v/>
      </c>
      <c r="L252" s="3" t="b">
        <f aca="false">ISNUMBER(MATCH(F252,'globales-bff'!F:F, 0))</f>
        <v>0</v>
      </c>
      <c r="M252" s="1" t="str">
        <f aca="false">IFERROR(INDEX('globales-bff'!G:G, MATCH(F252,'globales-bff'!F:F, 0)), "")</f>
        <v/>
      </c>
    </row>
    <row r="253" customFormat="false" ht="12.8" hidden="false" customHeight="false" outlineLevel="0" collapsed="false">
      <c r="H253" s="3" t="b">
        <f aca="false">ISNUMBER(MATCH(F253,'globales-sys'!F:F, 0))</f>
        <v>0</v>
      </c>
      <c r="I253" s="1" t="str">
        <f aca="false">IFERROR(INDEX('globales-sys'!G:G, MATCH(F253,'globales-sys'!F:F, 0)), "")</f>
        <v/>
      </c>
      <c r="J253" s="3" t="b">
        <f aca="false">ISNUMBER(MATCH(F253,'globales-baas'!F:F, 0))</f>
        <v>0</v>
      </c>
      <c r="K253" s="1" t="str">
        <f aca="false">IFERROR(INDEX('globales-baas'!G:G, MATCH(F253,'globales-baas'!F:F, 0)), "")</f>
        <v/>
      </c>
      <c r="L253" s="3" t="b">
        <f aca="false">ISNUMBER(MATCH(F253,'globales-bff'!F:F, 0))</f>
        <v>0</v>
      </c>
      <c r="M253" s="1" t="str">
        <f aca="false">IFERROR(INDEX('globales-bff'!G:G, MATCH(F253,'globales-bff'!F:F, 0)), "")</f>
        <v/>
      </c>
    </row>
    <row r="254" customFormat="false" ht="12.8" hidden="false" customHeight="false" outlineLevel="0" collapsed="false">
      <c r="H254" s="3" t="b">
        <f aca="false">ISNUMBER(MATCH(F254,'globales-sys'!F:F, 0))</f>
        <v>0</v>
      </c>
      <c r="I254" s="1" t="str">
        <f aca="false">IFERROR(INDEX('globales-sys'!G:G, MATCH(F254,'globales-sys'!F:F, 0)), "")</f>
        <v/>
      </c>
      <c r="J254" s="3" t="b">
        <f aca="false">ISNUMBER(MATCH(F254,'globales-baas'!F:F, 0))</f>
        <v>0</v>
      </c>
      <c r="K254" s="1" t="str">
        <f aca="false">IFERROR(INDEX('globales-baas'!G:G, MATCH(F254,'globales-baas'!F:F, 0)), "")</f>
        <v/>
      </c>
      <c r="L254" s="3" t="b">
        <f aca="false">ISNUMBER(MATCH(F254,'globales-bff'!F:F, 0))</f>
        <v>0</v>
      </c>
      <c r="M254" s="1" t="str">
        <f aca="false">IFERROR(INDEX('globales-bff'!G:G, MATCH(F254,'globales-bff'!F:F, 0)), "")</f>
        <v/>
      </c>
    </row>
    <row r="255" customFormat="false" ht="12.8" hidden="false" customHeight="false" outlineLevel="0" collapsed="false">
      <c r="H255" s="3" t="b">
        <f aca="false">ISNUMBER(MATCH(F255,'globales-sys'!F:F, 0))</f>
        <v>0</v>
      </c>
      <c r="I255" s="1" t="str">
        <f aca="false">IFERROR(INDEX('globales-sys'!G:G, MATCH(F255,'globales-sys'!F:F, 0)), "")</f>
        <v/>
      </c>
      <c r="J255" s="3" t="b">
        <f aca="false">ISNUMBER(MATCH(F255,'globales-baas'!F:F, 0))</f>
        <v>0</v>
      </c>
      <c r="K255" s="1" t="str">
        <f aca="false">IFERROR(INDEX('globales-baas'!G:G, MATCH(F255,'globales-baas'!F:F, 0)), "")</f>
        <v/>
      </c>
      <c r="L255" s="3" t="b">
        <f aca="false">ISNUMBER(MATCH(F255,'globales-bff'!F:F, 0))</f>
        <v>0</v>
      </c>
      <c r="M255" s="1" t="str">
        <f aca="false">IFERROR(INDEX('globales-bff'!G:G, MATCH(F255,'globales-bff'!F:F, 0)), "")</f>
        <v/>
      </c>
    </row>
    <row r="256" customFormat="false" ht="12.8" hidden="false" customHeight="false" outlineLevel="0" collapsed="false">
      <c r="H256" s="3" t="b">
        <f aca="false">ISNUMBER(MATCH(F256,'globales-sys'!F:F, 0))</f>
        <v>0</v>
      </c>
      <c r="I256" s="1" t="str">
        <f aca="false">IFERROR(INDEX('globales-sys'!G:G, MATCH(F256,'globales-sys'!F:F, 0)), "")</f>
        <v/>
      </c>
      <c r="K256" s="1" t="str">
        <f aca="false">IFERROR(INDEX('globales-baas'!G:G, MATCH(F256,'globales-baas'!F:F, 0)), "")</f>
        <v/>
      </c>
    </row>
  </sheetData>
  <autoFilter ref="A1:M25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79"/>
    <col collapsed="false" customWidth="true" hidden="false" outlineLevel="0" max="2" min="2" style="1" width="143.53"/>
    <col collapsed="false" customWidth="true" hidden="false" outlineLevel="0" max="6" min="6" style="1" width="51.71"/>
    <col collapsed="false" customWidth="true" hidden="false" outlineLevel="0" max="7" min="7" style="1" width="296.22"/>
  </cols>
  <sheetData>
    <row r="1" customFormat="false" ht="12.8" hidden="false" customHeight="false" outlineLevel="0" collapsed="false">
      <c r="A1" s="2" t="s">
        <v>3154</v>
      </c>
      <c r="B1" s="2" t="s">
        <v>3155</v>
      </c>
      <c r="C1" s="2" t="s">
        <v>3156</v>
      </c>
      <c r="D1" s="2" t="s">
        <v>3149</v>
      </c>
      <c r="E1" s="2" t="s">
        <v>3157</v>
      </c>
      <c r="F1" s="2" t="s">
        <v>3158</v>
      </c>
      <c r="G1" s="2" t="s">
        <v>3159</v>
      </c>
    </row>
    <row r="2" customFormat="false" ht="12.8" hidden="false" customHeight="false" outlineLevel="0" collapsed="false">
      <c r="A2" s="1" t="s">
        <v>3503</v>
      </c>
      <c r="B2" s="1" t="s">
        <v>3504</v>
      </c>
      <c r="C2" s="1" t="n">
        <v>200</v>
      </c>
      <c r="D2" s="1" t="s">
        <v>3505</v>
      </c>
      <c r="E2" s="1" t="s">
        <v>3176</v>
      </c>
      <c r="F2" s="1" t="s">
        <v>3506</v>
      </c>
      <c r="G2" s="1" t="s">
        <v>3507</v>
      </c>
    </row>
    <row r="3" customFormat="false" ht="12.8" hidden="false" customHeight="false" outlineLevel="0" collapsed="false">
      <c r="A3" s="1" t="s">
        <v>3503</v>
      </c>
      <c r="B3" s="1" t="s">
        <v>3504</v>
      </c>
      <c r="C3" s="1" t="n">
        <v>200</v>
      </c>
      <c r="D3" s="1" t="s">
        <v>3505</v>
      </c>
      <c r="E3" s="1" t="s">
        <v>3176</v>
      </c>
      <c r="F3" s="1" t="s">
        <v>3508</v>
      </c>
      <c r="G3" s="1" t="s">
        <v>3509</v>
      </c>
    </row>
    <row r="4" customFormat="false" ht="12.8" hidden="false" customHeight="false" outlineLevel="0" collapsed="false">
      <c r="A4" s="1" t="s">
        <v>3503</v>
      </c>
      <c r="B4" s="1" t="s">
        <v>3504</v>
      </c>
      <c r="C4" s="1" t="n">
        <v>200</v>
      </c>
      <c r="D4" s="1" t="s">
        <v>3505</v>
      </c>
      <c r="E4" s="1" t="s">
        <v>3176</v>
      </c>
      <c r="F4" s="1" t="s">
        <v>3510</v>
      </c>
      <c r="G4" s="1" t="s">
        <v>3511</v>
      </c>
    </row>
    <row r="5" customFormat="false" ht="12.8" hidden="false" customHeight="false" outlineLevel="0" collapsed="false">
      <c r="A5" s="1" t="s">
        <v>3503</v>
      </c>
      <c r="B5" s="1" t="s">
        <v>3504</v>
      </c>
      <c r="C5" s="1" t="n">
        <v>200</v>
      </c>
      <c r="D5" s="1" t="s">
        <v>3505</v>
      </c>
      <c r="E5" s="1" t="s">
        <v>3176</v>
      </c>
      <c r="F5" s="1" t="s">
        <v>3512</v>
      </c>
      <c r="G5" s="1" t="s">
        <v>3511</v>
      </c>
    </row>
    <row r="6" customFormat="false" ht="12.8" hidden="false" customHeight="false" outlineLevel="0" collapsed="false">
      <c r="A6" s="1" t="s">
        <v>3503</v>
      </c>
      <c r="B6" s="1" t="s">
        <v>3504</v>
      </c>
      <c r="C6" s="1" t="n">
        <v>200</v>
      </c>
      <c r="D6" s="1" t="s">
        <v>3505</v>
      </c>
      <c r="E6" s="1" t="s">
        <v>3176</v>
      </c>
      <c r="F6" s="1" t="s">
        <v>3513</v>
      </c>
      <c r="G6" s="1" t="s">
        <v>3514</v>
      </c>
    </row>
    <row r="7" customFormat="false" ht="12.8" hidden="false" customHeight="false" outlineLevel="0" collapsed="false">
      <c r="A7" s="1" t="s">
        <v>3503</v>
      </c>
      <c r="B7" s="1" t="s">
        <v>3504</v>
      </c>
      <c r="C7" s="1" t="n">
        <v>200</v>
      </c>
      <c r="D7" s="1" t="s">
        <v>3505</v>
      </c>
      <c r="E7" s="1" t="s">
        <v>3176</v>
      </c>
      <c r="F7" s="1" t="s">
        <v>3515</v>
      </c>
      <c r="G7" s="8" t="s">
        <v>3516</v>
      </c>
    </row>
    <row r="8" customFormat="false" ht="12.8" hidden="false" customHeight="false" outlineLevel="0" collapsed="false">
      <c r="A8" s="1" t="s">
        <v>3503</v>
      </c>
      <c r="B8" s="1" t="s">
        <v>3504</v>
      </c>
      <c r="C8" s="1" t="n">
        <v>200</v>
      </c>
      <c r="D8" s="1" t="s">
        <v>3505</v>
      </c>
      <c r="E8" s="1" t="s">
        <v>3176</v>
      </c>
      <c r="F8" s="1" t="s">
        <v>3517</v>
      </c>
      <c r="G8" s="1" t="n">
        <v>8080</v>
      </c>
    </row>
    <row r="9" customFormat="false" ht="12.8" hidden="false" customHeight="false" outlineLevel="0" collapsed="false">
      <c r="A9" s="1" t="s">
        <v>3503</v>
      </c>
      <c r="B9" s="1" t="s">
        <v>3504</v>
      </c>
      <c r="C9" s="1" t="n">
        <v>200</v>
      </c>
      <c r="D9" s="1" t="s">
        <v>3505</v>
      </c>
      <c r="E9" s="1" t="s">
        <v>3176</v>
      </c>
      <c r="F9" s="1" t="s">
        <v>3518</v>
      </c>
      <c r="G9" s="1" t="s">
        <v>3519</v>
      </c>
    </row>
    <row r="10" customFormat="false" ht="12.8" hidden="false" customHeight="false" outlineLevel="0" collapsed="false">
      <c r="A10" s="1" t="s">
        <v>3503</v>
      </c>
      <c r="B10" s="1" t="s">
        <v>3504</v>
      </c>
      <c r="C10" s="1" t="n">
        <v>200</v>
      </c>
      <c r="D10" s="1" t="s">
        <v>3505</v>
      </c>
      <c r="E10" s="1" t="s">
        <v>3176</v>
      </c>
      <c r="F10" s="1" t="s">
        <v>3520</v>
      </c>
      <c r="G10" s="1" t="s">
        <v>3521</v>
      </c>
    </row>
    <row r="11" customFormat="false" ht="12.8" hidden="false" customHeight="false" outlineLevel="0" collapsed="false">
      <c r="A11" s="1" t="s">
        <v>3503</v>
      </c>
      <c r="B11" s="1" t="s">
        <v>3504</v>
      </c>
      <c r="C11" s="1" t="n">
        <v>200</v>
      </c>
      <c r="D11" s="1" t="s">
        <v>3505</v>
      </c>
      <c r="E11" s="1" t="s">
        <v>3176</v>
      </c>
      <c r="F11" s="1" t="s">
        <v>3522</v>
      </c>
      <c r="G11" s="1" t="n">
        <v>26214400</v>
      </c>
    </row>
    <row r="12" customFormat="false" ht="12.8" hidden="false" customHeight="false" outlineLevel="0" collapsed="false">
      <c r="A12" s="1" t="s">
        <v>3503</v>
      </c>
      <c r="B12" s="1" t="s">
        <v>3504</v>
      </c>
      <c r="C12" s="1" t="n">
        <v>200</v>
      </c>
      <c r="D12" s="1" t="s">
        <v>3505</v>
      </c>
      <c r="E12" s="1" t="s">
        <v>3176</v>
      </c>
      <c r="F12" s="1" t="s">
        <v>3523</v>
      </c>
      <c r="G12" s="1" t="s">
        <v>3524</v>
      </c>
    </row>
    <row r="13" customFormat="false" ht="12.8" hidden="false" customHeight="false" outlineLevel="0" collapsed="false">
      <c r="A13" s="1" t="s">
        <v>3503</v>
      </c>
      <c r="B13" s="1" t="s">
        <v>3504</v>
      </c>
      <c r="C13" s="1" t="n">
        <v>200</v>
      </c>
      <c r="D13" s="1" t="s">
        <v>3505</v>
      </c>
      <c r="E13" s="1" t="s">
        <v>3176</v>
      </c>
      <c r="F13" s="1" t="s">
        <v>3525</v>
      </c>
      <c r="G13" s="1" t="s">
        <v>3526</v>
      </c>
    </row>
    <row r="14" customFormat="false" ht="12.8" hidden="false" customHeight="false" outlineLevel="0" collapsed="false">
      <c r="A14" s="1" t="s">
        <v>3503</v>
      </c>
      <c r="B14" s="1" t="s">
        <v>3504</v>
      </c>
      <c r="C14" s="1" t="n">
        <v>200</v>
      </c>
      <c r="D14" s="1" t="s">
        <v>3505</v>
      </c>
      <c r="E14" s="1" t="s">
        <v>3176</v>
      </c>
      <c r="F14" s="1" t="s">
        <v>3527</v>
      </c>
      <c r="G14" s="1" t="s">
        <v>3528</v>
      </c>
    </row>
    <row r="15" customFormat="false" ht="12.8" hidden="false" customHeight="false" outlineLevel="0" collapsed="false">
      <c r="A15" s="1" t="s">
        <v>3503</v>
      </c>
      <c r="B15" s="1" t="s">
        <v>3504</v>
      </c>
      <c r="C15" s="1" t="n">
        <v>200</v>
      </c>
      <c r="D15" s="1" t="s">
        <v>3505</v>
      </c>
      <c r="E15" s="1" t="s">
        <v>3176</v>
      </c>
      <c r="F15" s="1" t="s">
        <v>3529</v>
      </c>
      <c r="G15" s="1" t="s">
        <v>3530</v>
      </c>
    </row>
    <row r="16" customFormat="false" ht="12.8" hidden="false" customHeight="false" outlineLevel="0" collapsed="false">
      <c r="A16" s="1" t="s">
        <v>3503</v>
      </c>
      <c r="B16" s="1" t="s">
        <v>3504</v>
      </c>
      <c r="C16" s="1" t="n">
        <v>200</v>
      </c>
      <c r="D16" s="1" t="s">
        <v>3505</v>
      </c>
      <c r="E16" s="1" t="s">
        <v>3176</v>
      </c>
      <c r="F16" s="1" t="s">
        <v>3531</v>
      </c>
      <c r="G16" s="1" t="s">
        <v>3532</v>
      </c>
    </row>
    <row r="17" customFormat="false" ht="12.8" hidden="false" customHeight="false" outlineLevel="0" collapsed="false">
      <c r="A17" s="1" t="s">
        <v>3503</v>
      </c>
      <c r="B17" s="1" t="s">
        <v>3504</v>
      </c>
      <c r="C17" s="1" t="n">
        <v>200</v>
      </c>
      <c r="D17" s="1" t="s">
        <v>3505</v>
      </c>
      <c r="E17" s="1" t="s">
        <v>3176</v>
      </c>
      <c r="F17" s="1" t="s">
        <v>3533</v>
      </c>
      <c r="G17" s="1" t="s">
        <v>3534</v>
      </c>
    </row>
    <row r="18" customFormat="false" ht="12.8" hidden="false" customHeight="false" outlineLevel="0" collapsed="false">
      <c r="A18" s="1" t="s">
        <v>3503</v>
      </c>
      <c r="B18" s="1" t="s">
        <v>3504</v>
      </c>
      <c r="C18" s="1" t="n">
        <v>200</v>
      </c>
      <c r="D18" s="1" t="s">
        <v>3505</v>
      </c>
      <c r="E18" s="1" t="s">
        <v>3176</v>
      </c>
      <c r="F18" s="1" t="s">
        <v>3535</v>
      </c>
      <c r="G18" s="1" t="s">
        <v>3536</v>
      </c>
    </row>
    <row r="19" customFormat="false" ht="12.8" hidden="false" customHeight="false" outlineLevel="0" collapsed="false">
      <c r="A19" s="1" t="s">
        <v>3503</v>
      </c>
      <c r="B19" s="1" t="s">
        <v>3504</v>
      </c>
      <c r="C19" s="1" t="n">
        <v>200</v>
      </c>
      <c r="D19" s="1" t="s">
        <v>3505</v>
      </c>
      <c r="E19" s="1" t="s">
        <v>3176</v>
      </c>
      <c r="F19" s="1" t="s">
        <v>3537</v>
      </c>
      <c r="G19" s="1" t="s">
        <v>3538</v>
      </c>
    </row>
    <row r="20" customFormat="false" ht="12.8" hidden="false" customHeight="false" outlineLevel="0" collapsed="false">
      <c r="A20" s="1" t="s">
        <v>3503</v>
      </c>
      <c r="B20" s="1" t="s">
        <v>3504</v>
      </c>
      <c r="C20" s="1" t="n">
        <v>200</v>
      </c>
      <c r="D20" s="1" t="s">
        <v>3505</v>
      </c>
      <c r="E20" s="1" t="s">
        <v>3176</v>
      </c>
      <c r="F20" s="1" t="s">
        <v>3539</v>
      </c>
      <c r="G20" s="1" t="s">
        <v>3540</v>
      </c>
    </row>
    <row r="21" customFormat="false" ht="12.8" hidden="false" customHeight="false" outlineLevel="0" collapsed="false">
      <c r="A21" s="1" t="s">
        <v>3503</v>
      </c>
      <c r="B21" s="1" t="s">
        <v>3504</v>
      </c>
      <c r="C21" s="1" t="n">
        <v>200</v>
      </c>
      <c r="D21" s="1" t="s">
        <v>3505</v>
      </c>
      <c r="E21" s="1" t="s">
        <v>3176</v>
      </c>
      <c r="F21" s="1" t="s">
        <v>3541</v>
      </c>
      <c r="G21" s="1" t="s">
        <v>3542</v>
      </c>
    </row>
    <row r="22" customFormat="false" ht="12.8" hidden="false" customHeight="false" outlineLevel="0" collapsed="false">
      <c r="A22" s="1" t="s">
        <v>3503</v>
      </c>
      <c r="B22" s="1" t="s">
        <v>3504</v>
      </c>
      <c r="C22" s="1" t="n">
        <v>200</v>
      </c>
      <c r="D22" s="1" t="s">
        <v>3505</v>
      </c>
      <c r="E22" s="1" t="s">
        <v>3176</v>
      </c>
      <c r="F22" s="1" t="s">
        <v>3543</v>
      </c>
      <c r="G22" s="1" t="s">
        <v>3544</v>
      </c>
    </row>
    <row r="23" customFormat="false" ht="12.8" hidden="false" customHeight="false" outlineLevel="0" collapsed="false">
      <c r="A23" s="1" t="s">
        <v>3503</v>
      </c>
      <c r="B23" s="1" t="s">
        <v>3504</v>
      </c>
      <c r="C23" s="1" t="n">
        <v>200</v>
      </c>
      <c r="D23" s="1" t="s">
        <v>3505</v>
      </c>
      <c r="E23" s="1" t="s">
        <v>3176</v>
      </c>
      <c r="F23" s="1" t="s">
        <v>3545</v>
      </c>
      <c r="G23" s="1" t="s">
        <v>3546</v>
      </c>
    </row>
    <row r="24" customFormat="false" ht="12.8" hidden="false" customHeight="false" outlineLevel="0" collapsed="false">
      <c r="A24" s="1" t="s">
        <v>3503</v>
      </c>
      <c r="B24" s="1" t="s">
        <v>3504</v>
      </c>
      <c r="C24" s="1" t="n">
        <v>200</v>
      </c>
      <c r="D24" s="1" t="s">
        <v>3505</v>
      </c>
      <c r="E24" s="1" t="s">
        <v>3176</v>
      </c>
      <c r="F24" s="1" t="s">
        <v>3547</v>
      </c>
      <c r="G24" s="1" t="s">
        <v>3524</v>
      </c>
    </row>
    <row r="25" customFormat="false" ht="12.8" hidden="false" customHeight="false" outlineLevel="0" collapsed="false">
      <c r="A25" s="1" t="s">
        <v>3503</v>
      </c>
      <c r="B25" s="1" t="s">
        <v>3504</v>
      </c>
      <c r="C25" s="1" t="n">
        <v>200</v>
      </c>
      <c r="D25" s="1" t="s">
        <v>3505</v>
      </c>
      <c r="E25" s="1" t="s">
        <v>3176</v>
      </c>
      <c r="F25" s="1" t="s">
        <v>3548</v>
      </c>
      <c r="G25" s="1" t="s">
        <v>3526</v>
      </c>
    </row>
    <row r="26" customFormat="false" ht="12.8" hidden="false" customHeight="false" outlineLevel="0" collapsed="false">
      <c r="A26" s="1" t="s">
        <v>3503</v>
      </c>
      <c r="B26" s="1" t="s">
        <v>3504</v>
      </c>
      <c r="C26" s="1" t="n">
        <v>200</v>
      </c>
      <c r="D26" s="1" t="s">
        <v>3505</v>
      </c>
      <c r="E26" s="1" t="s">
        <v>3176</v>
      </c>
      <c r="F26" s="1" t="s">
        <v>3549</v>
      </c>
      <c r="G26" s="1" t="s">
        <v>3528</v>
      </c>
    </row>
    <row r="27" customFormat="false" ht="12.8" hidden="false" customHeight="false" outlineLevel="0" collapsed="false">
      <c r="A27" s="1" t="s">
        <v>3503</v>
      </c>
      <c r="B27" s="1" t="s">
        <v>3504</v>
      </c>
      <c r="C27" s="1" t="n">
        <v>200</v>
      </c>
      <c r="D27" s="1" t="s">
        <v>3505</v>
      </c>
      <c r="E27" s="1" t="s">
        <v>3176</v>
      </c>
      <c r="F27" s="1" t="s">
        <v>3550</v>
      </c>
      <c r="G27" s="1" t="s">
        <v>3530</v>
      </c>
    </row>
    <row r="28" customFormat="false" ht="12.8" hidden="false" customHeight="false" outlineLevel="0" collapsed="false">
      <c r="A28" s="1" t="s">
        <v>3503</v>
      </c>
      <c r="B28" s="1" t="s">
        <v>3504</v>
      </c>
      <c r="C28" s="1" t="n">
        <v>200</v>
      </c>
      <c r="D28" s="1" t="s">
        <v>3505</v>
      </c>
      <c r="E28" s="1" t="s">
        <v>3176</v>
      </c>
      <c r="F28" s="1" t="s">
        <v>3551</v>
      </c>
      <c r="G28" s="1" t="s">
        <v>3536</v>
      </c>
    </row>
    <row r="29" customFormat="false" ht="12.8" hidden="false" customHeight="false" outlineLevel="0" collapsed="false">
      <c r="A29" s="1" t="s">
        <v>3503</v>
      </c>
      <c r="B29" s="1" t="s">
        <v>3504</v>
      </c>
      <c r="C29" s="1" t="n">
        <v>200</v>
      </c>
      <c r="D29" s="1" t="s">
        <v>3505</v>
      </c>
      <c r="E29" s="1" t="s">
        <v>3176</v>
      </c>
      <c r="F29" s="1" t="s">
        <v>3552</v>
      </c>
      <c r="G29" s="1" t="s">
        <v>3538</v>
      </c>
    </row>
    <row r="30" customFormat="false" ht="12.8" hidden="false" customHeight="false" outlineLevel="0" collapsed="false">
      <c r="A30" s="1" t="s">
        <v>3503</v>
      </c>
      <c r="B30" s="1" t="s">
        <v>3504</v>
      </c>
      <c r="C30" s="1" t="n">
        <v>200</v>
      </c>
      <c r="D30" s="1" t="s">
        <v>3505</v>
      </c>
      <c r="E30" s="1" t="s">
        <v>3176</v>
      </c>
      <c r="F30" s="1" t="s">
        <v>3553</v>
      </c>
      <c r="G30" s="1" t="s">
        <v>3540</v>
      </c>
    </row>
    <row r="31" customFormat="false" ht="12.8" hidden="false" customHeight="false" outlineLevel="0" collapsed="false">
      <c r="A31" s="1" t="s">
        <v>3503</v>
      </c>
      <c r="B31" s="1" t="s">
        <v>3504</v>
      </c>
      <c r="C31" s="1" t="n">
        <v>200</v>
      </c>
      <c r="D31" s="1" t="s">
        <v>3505</v>
      </c>
      <c r="E31" s="1" t="s">
        <v>3176</v>
      </c>
      <c r="F31" s="1" t="s">
        <v>3554</v>
      </c>
      <c r="G31" s="1" t="s">
        <v>3542</v>
      </c>
    </row>
    <row r="32" customFormat="false" ht="12.8" hidden="false" customHeight="false" outlineLevel="0" collapsed="false">
      <c r="A32" s="1" t="s">
        <v>3503</v>
      </c>
      <c r="B32" s="1" t="s">
        <v>3504</v>
      </c>
      <c r="C32" s="1" t="n">
        <v>200</v>
      </c>
      <c r="D32" s="1" t="s">
        <v>3505</v>
      </c>
      <c r="E32" s="1" t="s">
        <v>3176</v>
      </c>
      <c r="F32" s="1" t="s">
        <v>3555</v>
      </c>
      <c r="G32" s="1" t="s">
        <v>3544</v>
      </c>
    </row>
    <row r="33" customFormat="false" ht="12.8" hidden="false" customHeight="false" outlineLevel="0" collapsed="false">
      <c r="A33" s="1" t="s">
        <v>3503</v>
      </c>
      <c r="B33" s="1" t="s">
        <v>3504</v>
      </c>
      <c r="C33" s="1" t="n">
        <v>200</v>
      </c>
      <c r="D33" s="1" t="s">
        <v>3505</v>
      </c>
      <c r="E33" s="1" t="s">
        <v>3176</v>
      </c>
      <c r="F33" s="1" t="s">
        <v>3556</v>
      </c>
      <c r="G33" s="1" t="s">
        <v>3546</v>
      </c>
    </row>
    <row r="34" customFormat="false" ht="12.8" hidden="false" customHeight="false" outlineLevel="0" collapsed="false">
      <c r="A34" s="1" t="s">
        <v>3503</v>
      </c>
      <c r="B34" s="1" t="s">
        <v>3504</v>
      </c>
      <c r="C34" s="1" t="n">
        <v>200</v>
      </c>
      <c r="D34" s="1" t="s">
        <v>3505</v>
      </c>
      <c r="E34" s="1" t="s">
        <v>3176</v>
      </c>
      <c r="F34" s="1" t="s">
        <v>3557</v>
      </c>
      <c r="G34" s="1" t="s">
        <v>3254</v>
      </c>
    </row>
    <row r="35" customFormat="false" ht="12.8" hidden="false" customHeight="false" outlineLevel="0" collapsed="false">
      <c r="A35" s="1" t="s">
        <v>3503</v>
      </c>
      <c r="B35" s="1" t="s">
        <v>3504</v>
      </c>
      <c r="C35" s="1" t="n">
        <v>200</v>
      </c>
      <c r="D35" s="1" t="s">
        <v>3505</v>
      </c>
      <c r="E35" s="1" t="s">
        <v>3176</v>
      </c>
      <c r="F35" s="1" t="s">
        <v>3558</v>
      </c>
      <c r="G35" s="1" t="s">
        <v>3559</v>
      </c>
    </row>
    <row r="36" customFormat="false" ht="12.8" hidden="false" customHeight="false" outlineLevel="0" collapsed="false">
      <c r="A36" s="1" t="s">
        <v>3503</v>
      </c>
      <c r="B36" s="1" t="s">
        <v>3504</v>
      </c>
      <c r="C36" s="1" t="n">
        <v>200</v>
      </c>
      <c r="D36" s="1" t="s">
        <v>3505</v>
      </c>
      <c r="E36" s="1" t="s">
        <v>3176</v>
      </c>
      <c r="F36" s="1" t="s">
        <v>3560</v>
      </c>
      <c r="G36" s="1" t="s">
        <v>3561</v>
      </c>
    </row>
    <row r="37" customFormat="false" ht="12.8" hidden="false" customHeight="false" outlineLevel="0" collapsed="false">
      <c r="A37" s="1" t="s">
        <v>3503</v>
      </c>
      <c r="B37" s="1" t="s">
        <v>3504</v>
      </c>
      <c r="C37" s="1" t="n">
        <v>200</v>
      </c>
      <c r="D37" s="1" t="s">
        <v>3505</v>
      </c>
      <c r="E37" s="1" t="s">
        <v>3176</v>
      </c>
      <c r="F37" s="1" t="s">
        <v>3562</v>
      </c>
      <c r="G37" s="1" t="s">
        <v>3563</v>
      </c>
    </row>
    <row r="38" customFormat="false" ht="12.8" hidden="false" customHeight="false" outlineLevel="0" collapsed="false">
      <c r="A38" s="1" t="s">
        <v>3503</v>
      </c>
      <c r="B38" s="1" t="s">
        <v>3504</v>
      </c>
      <c r="C38" s="1" t="n">
        <v>200</v>
      </c>
      <c r="D38" s="1" t="s">
        <v>3505</v>
      </c>
      <c r="E38" s="1" t="s">
        <v>3176</v>
      </c>
      <c r="F38" s="1" t="s">
        <v>3564</v>
      </c>
      <c r="G38" s="1" t="s">
        <v>3565</v>
      </c>
    </row>
    <row r="39" customFormat="false" ht="12.8" hidden="false" customHeight="false" outlineLevel="0" collapsed="false">
      <c r="A39" s="1" t="s">
        <v>3503</v>
      </c>
      <c r="B39" s="1" t="s">
        <v>3504</v>
      </c>
      <c r="C39" s="1" t="n">
        <v>200</v>
      </c>
      <c r="D39" s="1" t="s">
        <v>3505</v>
      </c>
      <c r="E39" s="1" t="s">
        <v>3176</v>
      </c>
      <c r="F39" s="1" t="s">
        <v>3566</v>
      </c>
      <c r="G39" s="8" t="s">
        <v>3516</v>
      </c>
    </row>
    <row r="40" customFormat="false" ht="12.8" hidden="false" customHeight="false" outlineLevel="0" collapsed="false">
      <c r="A40" s="1" t="s">
        <v>3503</v>
      </c>
      <c r="B40" s="1" t="s">
        <v>3504</v>
      </c>
      <c r="C40" s="1" t="n">
        <v>200</v>
      </c>
      <c r="D40" s="1" t="s">
        <v>3505</v>
      </c>
      <c r="E40" s="1" t="s">
        <v>3176</v>
      </c>
      <c r="F40" s="1" t="s">
        <v>3567</v>
      </c>
      <c r="G40" s="1" t="s">
        <v>3568</v>
      </c>
    </row>
    <row r="41" customFormat="false" ht="12.8" hidden="false" customHeight="false" outlineLevel="0" collapsed="false">
      <c r="A41" s="1" t="s">
        <v>3503</v>
      </c>
      <c r="B41" s="1" t="s">
        <v>3504</v>
      </c>
      <c r="C41" s="1" t="n">
        <v>200</v>
      </c>
      <c r="D41" s="1" t="s">
        <v>3505</v>
      </c>
      <c r="E41" s="1" t="s">
        <v>3176</v>
      </c>
      <c r="F41" s="1" t="s">
        <v>3569</v>
      </c>
      <c r="G41" s="1" t="s">
        <v>3570</v>
      </c>
    </row>
    <row r="42" customFormat="false" ht="12.8" hidden="false" customHeight="false" outlineLevel="0" collapsed="false">
      <c r="A42" s="1" t="s">
        <v>3503</v>
      </c>
      <c r="B42" s="1" t="s">
        <v>3504</v>
      </c>
      <c r="C42" s="1" t="n">
        <v>200</v>
      </c>
      <c r="D42" s="1" t="s">
        <v>3505</v>
      </c>
      <c r="E42" s="1" t="s">
        <v>3176</v>
      </c>
      <c r="F42" s="1" t="s">
        <v>3571</v>
      </c>
      <c r="G42" s="1" t="s">
        <v>3572</v>
      </c>
    </row>
    <row r="43" customFormat="false" ht="12.8" hidden="false" customHeight="false" outlineLevel="0" collapsed="false">
      <c r="A43" s="1" t="s">
        <v>3503</v>
      </c>
      <c r="B43" s="1" t="s">
        <v>3504</v>
      </c>
      <c r="C43" s="1" t="n">
        <v>200</v>
      </c>
      <c r="D43" s="1" t="s">
        <v>3505</v>
      </c>
      <c r="E43" s="1" t="s">
        <v>3176</v>
      </c>
      <c r="F43" s="1" t="s">
        <v>3573</v>
      </c>
      <c r="G43" s="8" t="s">
        <v>3516</v>
      </c>
    </row>
    <row r="44" customFormat="false" ht="12.8" hidden="false" customHeight="false" outlineLevel="0" collapsed="false">
      <c r="A44" s="1" t="s">
        <v>3503</v>
      </c>
      <c r="B44" s="1" t="s">
        <v>3504</v>
      </c>
      <c r="C44" s="1" t="n">
        <v>200</v>
      </c>
      <c r="D44" s="1" t="s">
        <v>3505</v>
      </c>
      <c r="E44" s="1" t="s">
        <v>3176</v>
      </c>
      <c r="F44" s="1" t="s">
        <v>3574</v>
      </c>
      <c r="G44" s="1" t="s">
        <v>3575</v>
      </c>
    </row>
    <row r="45" customFormat="false" ht="12.8" hidden="false" customHeight="false" outlineLevel="0" collapsed="false">
      <c r="A45" s="1" t="s">
        <v>3503</v>
      </c>
      <c r="B45" s="1" t="s">
        <v>3504</v>
      </c>
      <c r="C45" s="1" t="n">
        <v>200</v>
      </c>
      <c r="D45" s="1" t="s">
        <v>3505</v>
      </c>
      <c r="E45" s="1" t="s">
        <v>3176</v>
      </c>
      <c r="F45" s="1" t="s">
        <v>3576</v>
      </c>
      <c r="G45" s="8" t="s">
        <v>3516</v>
      </c>
    </row>
    <row r="46" customFormat="false" ht="12.8" hidden="false" customHeight="false" outlineLevel="0" collapsed="false">
      <c r="A46" s="1" t="s">
        <v>3503</v>
      </c>
      <c r="B46" s="1" t="s">
        <v>3504</v>
      </c>
      <c r="C46" s="1" t="n">
        <v>200</v>
      </c>
      <c r="D46" s="1" t="s">
        <v>3505</v>
      </c>
      <c r="E46" s="1" t="s">
        <v>3176</v>
      </c>
      <c r="F46" s="1" t="s">
        <v>3577</v>
      </c>
      <c r="G46" s="8" t="s">
        <v>3516</v>
      </c>
    </row>
    <row r="47" customFormat="false" ht="12.8" hidden="false" customHeight="false" outlineLevel="0" collapsed="false">
      <c r="A47" s="1" t="s">
        <v>3503</v>
      </c>
      <c r="B47" s="1" t="s">
        <v>3504</v>
      </c>
      <c r="C47" s="1" t="n">
        <v>200</v>
      </c>
      <c r="D47" s="1" t="s">
        <v>3505</v>
      </c>
      <c r="E47" s="1" t="s">
        <v>3176</v>
      </c>
      <c r="F47" s="1" t="s">
        <v>3318</v>
      </c>
      <c r="G47" s="1" t="s">
        <v>3578</v>
      </c>
    </row>
    <row r="48" customFormat="false" ht="12.8" hidden="false" customHeight="false" outlineLevel="0" collapsed="false">
      <c r="A48" s="1" t="s">
        <v>3503</v>
      </c>
      <c r="B48" s="1" t="s">
        <v>3504</v>
      </c>
      <c r="C48" s="1" t="n">
        <v>200</v>
      </c>
      <c r="D48" s="1" t="s">
        <v>3505</v>
      </c>
      <c r="E48" s="1" t="s">
        <v>3176</v>
      </c>
      <c r="F48" s="1" t="s">
        <v>3436</v>
      </c>
      <c r="G48" s="1" t="s">
        <v>3244</v>
      </c>
    </row>
    <row r="49" customFormat="false" ht="12.8" hidden="false" customHeight="false" outlineLevel="0" collapsed="false">
      <c r="A49" s="1" t="s">
        <v>3503</v>
      </c>
      <c r="B49" s="1" t="s">
        <v>3504</v>
      </c>
      <c r="C49" s="1" t="n">
        <v>200</v>
      </c>
      <c r="D49" s="1" t="s">
        <v>3505</v>
      </c>
      <c r="E49" s="1" t="s">
        <v>3176</v>
      </c>
      <c r="F49" s="1" t="s">
        <v>3579</v>
      </c>
      <c r="G49" s="1" t="s">
        <v>3580</v>
      </c>
    </row>
    <row r="50" customFormat="false" ht="12.8" hidden="false" customHeight="false" outlineLevel="0" collapsed="false">
      <c r="A50" s="1" t="s">
        <v>3503</v>
      </c>
      <c r="B50" s="1" t="s">
        <v>3504</v>
      </c>
      <c r="C50" s="1" t="n">
        <v>200</v>
      </c>
      <c r="D50" s="1" t="s">
        <v>3505</v>
      </c>
      <c r="E50" s="1" t="s">
        <v>3176</v>
      </c>
      <c r="F50" s="1" t="s">
        <v>3198</v>
      </c>
      <c r="G50" s="1" t="s">
        <v>3581</v>
      </c>
    </row>
    <row r="51" customFormat="false" ht="12.8" hidden="false" customHeight="false" outlineLevel="0" collapsed="false">
      <c r="A51" s="1" t="s">
        <v>3503</v>
      </c>
      <c r="B51" s="1" t="s">
        <v>3504</v>
      </c>
      <c r="C51" s="1" t="n">
        <v>200</v>
      </c>
      <c r="D51" s="1" t="s">
        <v>3505</v>
      </c>
      <c r="E51" s="1" t="s">
        <v>3176</v>
      </c>
      <c r="F51" s="1" t="s">
        <v>3482</v>
      </c>
      <c r="G51" s="1" t="s">
        <v>3582</v>
      </c>
    </row>
    <row r="52" customFormat="false" ht="12.8" hidden="false" customHeight="false" outlineLevel="0" collapsed="false">
      <c r="A52" s="1" t="s">
        <v>3503</v>
      </c>
      <c r="B52" s="1" t="s">
        <v>3504</v>
      </c>
      <c r="C52" s="1" t="n">
        <v>200</v>
      </c>
      <c r="D52" s="1" t="s">
        <v>3505</v>
      </c>
      <c r="E52" s="1" t="s">
        <v>3176</v>
      </c>
      <c r="F52" s="1" t="s">
        <v>3583</v>
      </c>
      <c r="G52" s="1" t="s">
        <v>3584</v>
      </c>
    </row>
    <row r="53" customFormat="false" ht="12.8" hidden="false" customHeight="false" outlineLevel="0" collapsed="false">
      <c r="A53" s="1" t="s">
        <v>3503</v>
      </c>
      <c r="B53" s="1" t="s">
        <v>3504</v>
      </c>
      <c r="C53" s="1" t="n">
        <v>200</v>
      </c>
      <c r="D53" s="1" t="s">
        <v>3505</v>
      </c>
      <c r="E53" s="1" t="s">
        <v>3176</v>
      </c>
      <c r="F53" s="1" t="s">
        <v>3585</v>
      </c>
      <c r="G53" s="1" t="s">
        <v>3586</v>
      </c>
    </row>
    <row r="54" customFormat="false" ht="12.8" hidden="false" customHeight="false" outlineLevel="0" collapsed="false">
      <c r="A54" s="1" t="s">
        <v>3503</v>
      </c>
      <c r="B54" s="1" t="s">
        <v>3504</v>
      </c>
      <c r="C54" s="1" t="n">
        <v>200</v>
      </c>
      <c r="D54" s="1" t="s">
        <v>3505</v>
      </c>
      <c r="E54" s="1" t="s">
        <v>3176</v>
      </c>
      <c r="F54" s="1" t="s">
        <v>3587</v>
      </c>
      <c r="G54" s="1" t="s">
        <v>3588</v>
      </c>
    </row>
    <row r="55" customFormat="false" ht="12.8" hidden="false" customHeight="false" outlineLevel="0" collapsed="false">
      <c r="A55" s="1" t="s">
        <v>3503</v>
      </c>
      <c r="B55" s="1" t="s">
        <v>3504</v>
      </c>
      <c r="C55" s="1" t="n">
        <v>200</v>
      </c>
      <c r="D55" s="1" t="s">
        <v>3505</v>
      </c>
      <c r="E55" s="1" t="s">
        <v>3176</v>
      </c>
      <c r="F55" s="1" t="s">
        <v>3589</v>
      </c>
      <c r="G55" s="1" t="s">
        <v>3582</v>
      </c>
    </row>
    <row r="56" customFormat="false" ht="12.8" hidden="false" customHeight="false" outlineLevel="0" collapsed="false">
      <c r="A56" s="1" t="s">
        <v>3503</v>
      </c>
      <c r="B56" s="1" t="s">
        <v>3504</v>
      </c>
      <c r="C56" s="1" t="n">
        <v>200</v>
      </c>
      <c r="D56" s="1" t="s">
        <v>3505</v>
      </c>
      <c r="E56" s="1" t="s">
        <v>3176</v>
      </c>
      <c r="F56" s="1" t="s">
        <v>3590</v>
      </c>
      <c r="G56" s="1" t="s">
        <v>3584</v>
      </c>
    </row>
    <row r="57" customFormat="false" ht="12.8" hidden="false" customHeight="false" outlineLevel="0" collapsed="false">
      <c r="A57" s="1" t="s">
        <v>3503</v>
      </c>
      <c r="B57" s="1" t="s">
        <v>3504</v>
      </c>
      <c r="C57" s="1" t="n">
        <v>200</v>
      </c>
      <c r="D57" s="1" t="s">
        <v>3505</v>
      </c>
      <c r="E57" s="1" t="s">
        <v>3176</v>
      </c>
      <c r="F57" s="1" t="s">
        <v>3591</v>
      </c>
      <c r="G57" s="1" t="s">
        <v>3592</v>
      </c>
    </row>
    <row r="58" customFormat="false" ht="12.8" hidden="false" customHeight="false" outlineLevel="0" collapsed="false">
      <c r="A58" s="1" t="s">
        <v>3503</v>
      </c>
      <c r="B58" s="1" t="s">
        <v>3504</v>
      </c>
      <c r="C58" s="1" t="n">
        <v>200</v>
      </c>
      <c r="D58" s="1" t="s">
        <v>3505</v>
      </c>
      <c r="E58" s="1" t="s">
        <v>3176</v>
      </c>
      <c r="F58" s="1" t="s">
        <v>3593</v>
      </c>
      <c r="G58" s="1" t="s">
        <v>3594</v>
      </c>
    </row>
    <row r="59" customFormat="false" ht="12.8" hidden="false" customHeight="false" outlineLevel="0" collapsed="false">
      <c r="A59" s="1" t="s">
        <v>3503</v>
      </c>
      <c r="B59" s="1" t="s">
        <v>3504</v>
      </c>
      <c r="C59" s="1" t="n">
        <v>200</v>
      </c>
      <c r="D59" s="1" t="s">
        <v>3505</v>
      </c>
      <c r="E59" s="1" t="s">
        <v>3176</v>
      </c>
      <c r="F59" s="1" t="s">
        <v>3595</v>
      </c>
      <c r="G59" s="1" t="s">
        <v>3596</v>
      </c>
    </row>
    <row r="60" customFormat="false" ht="12.8" hidden="false" customHeight="false" outlineLevel="0" collapsed="false">
      <c r="A60" s="1" t="s">
        <v>3503</v>
      </c>
      <c r="B60" s="1" t="s">
        <v>3504</v>
      </c>
      <c r="C60" s="1" t="n">
        <v>200</v>
      </c>
      <c r="D60" s="1" t="s">
        <v>3505</v>
      </c>
      <c r="E60" s="1" t="s">
        <v>3176</v>
      </c>
      <c r="F60" s="1" t="s">
        <v>3597</v>
      </c>
      <c r="G60" s="1" t="n">
        <v>5000</v>
      </c>
    </row>
    <row r="61" customFormat="false" ht="12.8" hidden="false" customHeight="false" outlineLevel="0" collapsed="false">
      <c r="A61" s="1" t="s">
        <v>3503</v>
      </c>
      <c r="B61" s="1" t="s">
        <v>3504</v>
      </c>
      <c r="C61" s="1" t="n">
        <v>200</v>
      </c>
      <c r="D61" s="1" t="s">
        <v>3505</v>
      </c>
      <c r="E61" s="1" t="s">
        <v>3176</v>
      </c>
      <c r="F61" s="1" t="s">
        <v>3598</v>
      </c>
      <c r="G61" s="1" t="s">
        <v>3599</v>
      </c>
    </row>
    <row r="62" customFormat="false" ht="12.8" hidden="false" customHeight="false" outlineLevel="0" collapsed="false">
      <c r="A62" s="1" t="s">
        <v>3503</v>
      </c>
      <c r="B62" s="1" t="s">
        <v>3504</v>
      </c>
      <c r="C62" s="1" t="n">
        <v>200</v>
      </c>
      <c r="D62" s="1" t="s">
        <v>3505</v>
      </c>
      <c r="E62" s="1" t="s">
        <v>3176</v>
      </c>
      <c r="F62" s="1" t="s">
        <v>3600</v>
      </c>
      <c r="G62" s="1" t="n">
        <v>64000</v>
      </c>
    </row>
    <row r="63" customFormat="false" ht="12.8" hidden="false" customHeight="false" outlineLevel="0" collapsed="false">
      <c r="A63" s="1" t="s">
        <v>3503</v>
      </c>
      <c r="B63" s="1" t="s">
        <v>3504</v>
      </c>
      <c r="C63" s="1" t="n">
        <v>200</v>
      </c>
      <c r="D63" s="1" t="s">
        <v>3505</v>
      </c>
      <c r="E63" s="1" t="s">
        <v>3176</v>
      </c>
      <c r="F63" s="1" t="s">
        <v>3601</v>
      </c>
      <c r="G63" s="1" t="s">
        <v>3602</v>
      </c>
    </row>
    <row r="64" customFormat="false" ht="12.8" hidden="false" customHeight="false" outlineLevel="0" collapsed="false">
      <c r="A64" s="1" t="s">
        <v>3503</v>
      </c>
      <c r="B64" s="1" t="s">
        <v>3504</v>
      </c>
      <c r="C64" s="1" t="n">
        <v>200</v>
      </c>
      <c r="D64" s="1" t="s">
        <v>3505</v>
      </c>
      <c r="E64" s="1" t="s">
        <v>3176</v>
      </c>
      <c r="F64" s="1" t="s">
        <v>3603</v>
      </c>
      <c r="G64" s="1" t="s">
        <v>3604</v>
      </c>
    </row>
    <row r="65" customFormat="false" ht="12.8" hidden="false" customHeight="false" outlineLevel="0" collapsed="false">
      <c r="A65" s="1" t="s">
        <v>3503</v>
      </c>
      <c r="B65" s="1" t="s">
        <v>3504</v>
      </c>
      <c r="C65" s="1" t="n">
        <v>200</v>
      </c>
      <c r="D65" s="1" t="s">
        <v>3505</v>
      </c>
      <c r="E65" s="1" t="s">
        <v>3176</v>
      </c>
      <c r="F65" s="1" t="s">
        <v>3605</v>
      </c>
      <c r="G65" s="1" t="n">
        <v>8080</v>
      </c>
    </row>
    <row r="66" customFormat="false" ht="12.8" hidden="false" customHeight="false" outlineLevel="0" collapsed="false">
      <c r="A66" s="1" t="s">
        <v>3503</v>
      </c>
      <c r="B66" s="1" t="s">
        <v>3504</v>
      </c>
      <c r="C66" s="1" t="n">
        <v>200</v>
      </c>
      <c r="D66" s="1" t="s">
        <v>3505</v>
      </c>
      <c r="E66" s="1" t="s">
        <v>3176</v>
      </c>
      <c r="F66" s="1" t="s">
        <v>3606</v>
      </c>
      <c r="G66" s="8" t="s">
        <v>3516</v>
      </c>
    </row>
    <row r="67" customFormat="false" ht="12.8" hidden="false" customHeight="false" outlineLevel="0" collapsed="false">
      <c r="A67" s="1" t="s">
        <v>3503</v>
      </c>
      <c r="B67" s="1" t="s">
        <v>3504</v>
      </c>
      <c r="C67" s="1" t="n">
        <v>200</v>
      </c>
      <c r="D67" s="1" t="s">
        <v>3505</v>
      </c>
      <c r="E67" s="1" t="s">
        <v>3176</v>
      </c>
      <c r="F67" s="1" t="s">
        <v>3607</v>
      </c>
      <c r="G67" s="1" t="n">
        <v>200</v>
      </c>
    </row>
    <row r="68" customFormat="false" ht="12.8" hidden="false" customHeight="false" outlineLevel="0" collapsed="false">
      <c r="A68" s="1" t="s">
        <v>3503</v>
      </c>
      <c r="B68" s="1" t="s">
        <v>3504</v>
      </c>
      <c r="C68" s="1" t="n">
        <v>200</v>
      </c>
      <c r="D68" s="1" t="s">
        <v>3505</v>
      </c>
      <c r="E68" s="1" t="s">
        <v>3176</v>
      </c>
      <c r="F68" s="1" t="s">
        <v>3608</v>
      </c>
      <c r="G68" s="1" t="n">
        <v>10</v>
      </c>
    </row>
    <row r="69" customFormat="false" ht="12.8" hidden="false" customHeight="false" outlineLevel="0" collapsed="false">
      <c r="A69" s="1" t="s">
        <v>3503</v>
      </c>
      <c r="B69" s="1" t="s">
        <v>3504</v>
      </c>
      <c r="C69" s="1" t="n">
        <v>200</v>
      </c>
      <c r="D69" s="1" t="s">
        <v>3505</v>
      </c>
      <c r="E69" s="1" t="s">
        <v>3176</v>
      </c>
      <c r="F69" s="1" t="s">
        <v>3609</v>
      </c>
      <c r="G69" s="1" t="n">
        <v>1</v>
      </c>
    </row>
    <row r="70" customFormat="false" ht="12.8" hidden="false" customHeight="false" outlineLevel="0" collapsed="false">
      <c r="A70" s="1" t="s">
        <v>3503</v>
      </c>
      <c r="B70" s="1" t="s">
        <v>3504</v>
      </c>
      <c r="C70" s="1" t="n">
        <v>200</v>
      </c>
      <c r="D70" s="1" t="s">
        <v>3505</v>
      </c>
      <c r="E70" s="1" t="s">
        <v>3176</v>
      </c>
      <c r="F70" s="1" t="s">
        <v>3212</v>
      </c>
      <c r="G70" s="1" t="s">
        <v>3610</v>
      </c>
    </row>
    <row r="71" customFormat="false" ht="12.8" hidden="false" customHeight="false" outlineLevel="0" collapsed="false">
      <c r="A71" s="1" t="s">
        <v>3503</v>
      </c>
      <c r="B71" s="1" t="s">
        <v>3504</v>
      </c>
      <c r="C71" s="1" t="n">
        <v>200</v>
      </c>
      <c r="D71" s="1" t="s">
        <v>3505</v>
      </c>
      <c r="E71" s="1" t="s">
        <v>3176</v>
      </c>
      <c r="F71" s="1" t="s">
        <v>3611</v>
      </c>
      <c r="G71" s="1" t="s">
        <v>3612</v>
      </c>
    </row>
    <row r="72" customFormat="false" ht="12.8" hidden="false" customHeight="false" outlineLevel="0" collapsed="false">
      <c r="A72" s="1" t="s">
        <v>3503</v>
      </c>
      <c r="B72" s="1" t="s">
        <v>3504</v>
      </c>
      <c r="C72" s="1" t="n">
        <v>200</v>
      </c>
      <c r="D72" s="1" t="s">
        <v>3505</v>
      </c>
      <c r="E72" s="1" t="s">
        <v>3176</v>
      </c>
      <c r="F72" s="1" t="s">
        <v>3613</v>
      </c>
      <c r="G72" s="1" t="s">
        <v>3614</v>
      </c>
    </row>
    <row r="73" customFormat="false" ht="12.8" hidden="false" customHeight="false" outlineLevel="0" collapsed="false">
      <c r="A73" s="1" t="s">
        <v>3503</v>
      </c>
      <c r="B73" s="1" t="s">
        <v>3504</v>
      </c>
      <c r="C73" s="1" t="n">
        <v>200</v>
      </c>
      <c r="D73" s="1" t="s">
        <v>3505</v>
      </c>
      <c r="E73" s="1" t="s">
        <v>3176</v>
      </c>
      <c r="F73" s="1" t="s">
        <v>3615</v>
      </c>
      <c r="G73" s="1" t="s">
        <v>3616</v>
      </c>
    </row>
    <row r="74" customFormat="false" ht="12.8" hidden="false" customHeight="false" outlineLevel="0" collapsed="false">
      <c r="A74" s="1" t="s">
        <v>3503</v>
      </c>
      <c r="B74" s="1" t="s">
        <v>3504</v>
      </c>
      <c r="C74" s="1" t="n">
        <v>200</v>
      </c>
      <c r="D74" s="1" t="s">
        <v>3505</v>
      </c>
      <c r="E74" s="1" t="s">
        <v>3176</v>
      </c>
      <c r="F74" s="1" t="s">
        <v>3379</v>
      </c>
      <c r="G74" s="1" t="s">
        <v>3617</v>
      </c>
    </row>
    <row r="75" customFormat="false" ht="12.8" hidden="false" customHeight="false" outlineLevel="0" collapsed="false">
      <c r="A75" s="1" t="s">
        <v>3503</v>
      </c>
      <c r="B75" s="1" t="s">
        <v>3504</v>
      </c>
      <c r="C75" s="1" t="n">
        <v>200</v>
      </c>
      <c r="D75" s="1" t="s">
        <v>3505</v>
      </c>
      <c r="E75" s="1" t="s">
        <v>3176</v>
      </c>
      <c r="F75" s="1" t="s">
        <v>3422</v>
      </c>
      <c r="G75" s="1" t="s">
        <v>3618</v>
      </c>
    </row>
    <row r="76" customFormat="false" ht="12.8" hidden="false" customHeight="false" outlineLevel="0" collapsed="false">
      <c r="A76" s="1" t="s">
        <v>3503</v>
      </c>
      <c r="B76" s="1" t="s">
        <v>3504</v>
      </c>
      <c r="C76" s="1" t="n">
        <v>200</v>
      </c>
      <c r="D76" s="1" t="s">
        <v>3505</v>
      </c>
      <c r="E76" s="1" t="s">
        <v>3176</v>
      </c>
      <c r="F76" s="1" t="s">
        <v>3619</v>
      </c>
      <c r="G76" s="1" t="s">
        <v>3620</v>
      </c>
    </row>
    <row r="77" customFormat="false" ht="12.8" hidden="false" customHeight="false" outlineLevel="0" collapsed="false">
      <c r="A77" s="1" t="s">
        <v>3503</v>
      </c>
      <c r="B77" s="1" t="s">
        <v>3504</v>
      </c>
      <c r="C77" s="1" t="n">
        <v>200</v>
      </c>
      <c r="D77" s="1" t="s">
        <v>3505</v>
      </c>
      <c r="E77" s="1" t="s">
        <v>3176</v>
      </c>
      <c r="F77" s="1" t="s">
        <v>3621</v>
      </c>
      <c r="G77" s="1" t="s">
        <v>3622</v>
      </c>
    </row>
    <row r="78" customFormat="false" ht="12.8" hidden="false" customHeight="false" outlineLevel="0" collapsed="false">
      <c r="A78" s="1" t="s">
        <v>3503</v>
      </c>
      <c r="B78" s="1" t="s">
        <v>3504</v>
      </c>
      <c r="C78" s="1" t="n">
        <v>200</v>
      </c>
      <c r="D78" s="1" t="s">
        <v>3505</v>
      </c>
      <c r="E78" s="1" t="s">
        <v>3176</v>
      </c>
      <c r="F78" s="1" t="s">
        <v>3623</v>
      </c>
      <c r="G78" s="1" t="s">
        <v>3624</v>
      </c>
    </row>
    <row r="79" customFormat="false" ht="12.8" hidden="false" customHeight="false" outlineLevel="0" collapsed="false">
      <c r="A79" s="1" t="s">
        <v>3503</v>
      </c>
      <c r="B79" s="1" t="s">
        <v>3504</v>
      </c>
      <c r="C79" s="1" t="n">
        <v>200</v>
      </c>
      <c r="D79" s="1" t="s">
        <v>3505</v>
      </c>
      <c r="E79" s="1" t="s">
        <v>3176</v>
      </c>
      <c r="F79" s="1" t="s">
        <v>3625</v>
      </c>
      <c r="G79" s="1" t="s">
        <v>3626</v>
      </c>
    </row>
    <row r="80" customFormat="false" ht="12.8" hidden="false" customHeight="false" outlineLevel="0" collapsed="false">
      <c r="A80" s="1" t="s">
        <v>3503</v>
      </c>
      <c r="B80" s="1" t="s">
        <v>3504</v>
      </c>
      <c r="C80" s="1" t="n">
        <v>200</v>
      </c>
      <c r="D80" s="1" t="s">
        <v>3505</v>
      </c>
      <c r="E80" s="1" t="s">
        <v>3176</v>
      </c>
      <c r="F80" s="1" t="s">
        <v>3627</v>
      </c>
      <c r="G80" s="1" t="s">
        <v>3628</v>
      </c>
    </row>
    <row r="81" customFormat="false" ht="12.8" hidden="false" customHeight="false" outlineLevel="0" collapsed="false">
      <c r="A81" s="1" t="s">
        <v>3503</v>
      </c>
      <c r="B81" s="1" t="s">
        <v>3504</v>
      </c>
      <c r="C81" s="1" t="n">
        <v>200</v>
      </c>
      <c r="D81" s="1" t="s">
        <v>3505</v>
      </c>
      <c r="E81" s="1" t="s">
        <v>3176</v>
      </c>
      <c r="F81" s="1" t="s">
        <v>3629</v>
      </c>
      <c r="G81" s="1" t="s">
        <v>3630</v>
      </c>
    </row>
    <row r="82" customFormat="false" ht="12.8" hidden="false" customHeight="false" outlineLevel="0" collapsed="false">
      <c r="A82" s="1" t="s">
        <v>3503</v>
      </c>
      <c r="B82" s="1" t="s">
        <v>3504</v>
      </c>
      <c r="C82" s="1" t="n">
        <v>200</v>
      </c>
      <c r="D82" s="1" t="s">
        <v>3505</v>
      </c>
      <c r="E82" s="1" t="s">
        <v>3176</v>
      </c>
      <c r="F82" s="1" t="s">
        <v>3631</v>
      </c>
      <c r="G82" s="1" t="s">
        <v>3254</v>
      </c>
    </row>
    <row r="83" customFormat="false" ht="12.8" hidden="false" customHeight="false" outlineLevel="0" collapsed="false">
      <c r="A83" s="1" t="s">
        <v>3503</v>
      </c>
      <c r="B83" s="1" t="s">
        <v>3504</v>
      </c>
      <c r="C83" s="1" t="n">
        <v>200</v>
      </c>
      <c r="D83" s="1" t="s">
        <v>3505</v>
      </c>
      <c r="E83" s="1" t="s">
        <v>3176</v>
      </c>
      <c r="F83" s="1" t="s">
        <v>3632</v>
      </c>
      <c r="G83" s="1" t="s">
        <v>3633</v>
      </c>
    </row>
    <row r="84" customFormat="false" ht="12.8" hidden="false" customHeight="false" outlineLevel="0" collapsed="false">
      <c r="A84" s="1" t="s">
        <v>3503</v>
      </c>
      <c r="B84" s="1" t="s">
        <v>3504</v>
      </c>
      <c r="C84" s="1" t="n">
        <v>200</v>
      </c>
      <c r="D84" s="1" t="s">
        <v>3505</v>
      </c>
      <c r="E84" s="1" t="s">
        <v>3176</v>
      </c>
      <c r="F84" s="1" t="s">
        <v>3634</v>
      </c>
      <c r="G84" s="1" t="s">
        <v>3635</v>
      </c>
    </row>
    <row r="85" customFormat="false" ht="12.8" hidden="false" customHeight="false" outlineLevel="0" collapsed="false">
      <c r="A85" s="1" t="s">
        <v>3503</v>
      </c>
      <c r="B85" s="1" t="s">
        <v>3504</v>
      </c>
      <c r="C85" s="1" t="n">
        <v>200</v>
      </c>
      <c r="D85" s="1" t="s">
        <v>3505</v>
      </c>
      <c r="E85" s="1" t="s">
        <v>3176</v>
      </c>
      <c r="F85" s="1" t="s">
        <v>3636</v>
      </c>
      <c r="G85" s="1" t="s">
        <v>3637</v>
      </c>
    </row>
    <row r="86" customFormat="false" ht="12.8" hidden="false" customHeight="false" outlineLevel="0" collapsed="false">
      <c r="A86" s="1" t="s">
        <v>3503</v>
      </c>
      <c r="B86" s="1" t="s">
        <v>3504</v>
      </c>
      <c r="C86" s="1" t="n">
        <v>200</v>
      </c>
      <c r="D86" s="1" t="s">
        <v>3505</v>
      </c>
      <c r="E86" s="1" t="s">
        <v>3176</v>
      </c>
      <c r="F86" s="1" t="s">
        <v>3638</v>
      </c>
      <c r="G86" s="1" t="s">
        <v>3639</v>
      </c>
    </row>
    <row r="87" customFormat="false" ht="12.8" hidden="false" customHeight="false" outlineLevel="0" collapsed="false">
      <c r="A87" s="1" t="s">
        <v>3503</v>
      </c>
      <c r="B87" s="1" t="s">
        <v>3504</v>
      </c>
      <c r="C87" s="1" t="n">
        <v>200</v>
      </c>
      <c r="D87" s="1" t="s">
        <v>3505</v>
      </c>
      <c r="E87" s="1" t="s">
        <v>3176</v>
      </c>
      <c r="F87" s="1" t="s">
        <v>3640</v>
      </c>
      <c r="G87" s="1" t="s">
        <v>3641</v>
      </c>
    </row>
    <row r="88" customFormat="false" ht="12.8" hidden="false" customHeight="false" outlineLevel="0" collapsed="false">
      <c r="A88" s="1" t="s">
        <v>3503</v>
      </c>
      <c r="B88" s="1" t="s">
        <v>3504</v>
      </c>
      <c r="C88" s="1" t="n">
        <v>200</v>
      </c>
      <c r="D88" s="1" t="s">
        <v>3505</v>
      </c>
      <c r="E88" s="1" t="s">
        <v>3176</v>
      </c>
      <c r="F88" s="1" t="s">
        <v>3326</v>
      </c>
      <c r="G88" s="1" t="s">
        <v>3254</v>
      </c>
    </row>
    <row r="89" customFormat="false" ht="12.8" hidden="false" customHeight="false" outlineLevel="0" collapsed="false">
      <c r="A89" s="1" t="s">
        <v>3503</v>
      </c>
      <c r="B89" s="1" t="s">
        <v>3504</v>
      </c>
      <c r="C89" s="1" t="n">
        <v>200</v>
      </c>
      <c r="D89" s="1" t="s">
        <v>3505</v>
      </c>
      <c r="E89" s="1" t="s">
        <v>3176</v>
      </c>
      <c r="F89" s="1" t="s">
        <v>3642</v>
      </c>
      <c r="G89" s="1" t="s">
        <v>3643</v>
      </c>
    </row>
    <row r="90" customFormat="false" ht="12.8" hidden="false" customHeight="false" outlineLevel="0" collapsed="false">
      <c r="A90" s="1" t="s">
        <v>3503</v>
      </c>
      <c r="B90" s="1" t="s">
        <v>3504</v>
      </c>
      <c r="C90" s="1" t="n">
        <v>200</v>
      </c>
      <c r="D90" s="1" t="s">
        <v>3505</v>
      </c>
      <c r="E90" s="1" t="s">
        <v>3176</v>
      </c>
      <c r="F90" s="1" t="s">
        <v>3644</v>
      </c>
      <c r="G90" s="1" t="s">
        <v>3645</v>
      </c>
    </row>
    <row r="91" customFormat="false" ht="12.8" hidden="false" customHeight="false" outlineLevel="0" collapsed="false">
      <c r="A91" s="1" t="s">
        <v>3503</v>
      </c>
      <c r="B91" s="1" t="s">
        <v>3504</v>
      </c>
      <c r="C91" s="1" t="n">
        <v>200</v>
      </c>
      <c r="D91" s="1" t="s">
        <v>3505</v>
      </c>
      <c r="E91" s="1" t="s">
        <v>3176</v>
      </c>
      <c r="F91" s="1" t="s">
        <v>3646</v>
      </c>
      <c r="G91" s="1" t="s">
        <v>3647</v>
      </c>
    </row>
    <row r="92" customFormat="false" ht="12.8" hidden="false" customHeight="false" outlineLevel="0" collapsed="false">
      <c r="A92" s="1" t="s">
        <v>3503</v>
      </c>
      <c r="B92" s="1" t="s">
        <v>3504</v>
      </c>
      <c r="C92" s="1" t="n">
        <v>200</v>
      </c>
      <c r="D92" s="1" t="s">
        <v>3505</v>
      </c>
      <c r="E92" s="1" t="s">
        <v>3176</v>
      </c>
      <c r="F92" s="1" t="s">
        <v>3648</v>
      </c>
      <c r="G92" s="1" t="s">
        <v>3594</v>
      </c>
    </row>
    <row r="93" customFormat="false" ht="12.8" hidden="false" customHeight="false" outlineLevel="0" collapsed="false">
      <c r="A93" s="1" t="s">
        <v>3503</v>
      </c>
      <c r="B93" s="1" t="s">
        <v>3504</v>
      </c>
      <c r="C93" s="1" t="n">
        <v>200</v>
      </c>
      <c r="D93" s="1" t="s">
        <v>3505</v>
      </c>
      <c r="E93" s="1" t="s">
        <v>3176</v>
      </c>
      <c r="F93" s="1" t="s">
        <v>3649</v>
      </c>
      <c r="G93" s="1" t="s">
        <v>3650</v>
      </c>
    </row>
    <row r="94" customFormat="false" ht="12.8" hidden="false" customHeight="false" outlineLevel="0" collapsed="false">
      <c r="A94" s="1" t="s">
        <v>3503</v>
      </c>
      <c r="B94" s="1" t="s">
        <v>3504</v>
      </c>
      <c r="C94" s="1" t="n">
        <v>200</v>
      </c>
      <c r="D94" s="1" t="s">
        <v>3505</v>
      </c>
      <c r="E94" s="1" t="s">
        <v>3176</v>
      </c>
      <c r="F94" s="1" t="s">
        <v>3651</v>
      </c>
      <c r="G94" s="1" t="n">
        <v>100</v>
      </c>
    </row>
    <row r="95" customFormat="false" ht="12.8" hidden="false" customHeight="false" outlineLevel="0" collapsed="false">
      <c r="A95" s="1" t="s">
        <v>3503</v>
      </c>
      <c r="B95" s="1" t="s">
        <v>3504</v>
      </c>
      <c r="C95" s="1" t="n">
        <v>200</v>
      </c>
      <c r="D95" s="1" t="s">
        <v>3505</v>
      </c>
      <c r="E95" s="1" t="s">
        <v>3176</v>
      </c>
      <c r="F95" s="1" t="s">
        <v>3652</v>
      </c>
      <c r="G95" s="1" t="n">
        <v>100</v>
      </c>
    </row>
    <row r="96" customFormat="false" ht="12.8" hidden="false" customHeight="false" outlineLevel="0" collapsed="false">
      <c r="A96" s="1" t="s">
        <v>3503</v>
      </c>
      <c r="B96" s="1" t="s">
        <v>3504</v>
      </c>
      <c r="C96" s="1" t="n">
        <v>200</v>
      </c>
      <c r="D96" s="1" t="s">
        <v>3505</v>
      </c>
      <c r="E96" s="1" t="s">
        <v>3176</v>
      </c>
      <c r="F96" s="1" t="s">
        <v>3653</v>
      </c>
      <c r="G96" s="1" t="n">
        <v>1000</v>
      </c>
    </row>
    <row r="97" customFormat="false" ht="12.8" hidden="false" customHeight="false" outlineLevel="0" collapsed="false">
      <c r="A97" s="1" t="s">
        <v>3503</v>
      </c>
      <c r="B97" s="1" t="s">
        <v>3504</v>
      </c>
      <c r="C97" s="1" t="n">
        <v>200</v>
      </c>
      <c r="D97" s="1" t="s">
        <v>3505</v>
      </c>
      <c r="E97" s="1" t="s">
        <v>3176</v>
      </c>
      <c r="F97" s="1" t="s">
        <v>3654</v>
      </c>
      <c r="G97" s="1" t="n">
        <v>0</v>
      </c>
    </row>
    <row r="98" customFormat="false" ht="12.8" hidden="false" customHeight="false" outlineLevel="0" collapsed="false">
      <c r="A98" s="1" t="s">
        <v>3503</v>
      </c>
      <c r="B98" s="1" t="s">
        <v>3504</v>
      </c>
      <c r="C98" s="1" t="n">
        <v>200</v>
      </c>
      <c r="D98" s="1" t="s">
        <v>3505</v>
      </c>
      <c r="E98" s="1" t="s">
        <v>3176</v>
      </c>
      <c r="F98" s="1" t="s">
        <v>3655</v>
      </c>
      <c r="G98" s="1" t="s">
        <v>3656</v>
      </c>
    </row>
    <row r="99" customFormat="false" ht="12.8" hidden="false" customHeight="false" outlineLevel="0" collapsed="false">
      <c r="A99" s="1" t="s">
        <v>3503</v>
      </c>
      <c r="B99" s="1" t="s">
        <v>3504</v>
      </c>
      <c r="C99" s="1" t="n">
        <v>200</v>
      </c>
      <c r="D99" s="1" t="s">
        <v>3505</v>
      </c>
      <c r="E99" s="1" t="s">
        <v>3176</v>
      </c>
      <c r="F99" s="1" t="s">
        <v>3657</v>
      </c>
      <c r="G99" s="1" t="n">
        <v>16379</v>
      </c>
    </row>
    <row r="100" customFormat="false" ht="12.8" hidden="false" customHeight="false" outlineLevel="0" collapsed="false">
      <c r="A100" s="1" t="s">
        <v>3503</v>
      </c>
      <c r="B100" s="1" t="s">
        <v>3504</v>
      </c>
      <c r="C100" s="1" t="n">
        <v>200</v>
      </c>
      <c r="D100" s="1" t="s">
        <v>3505</v>
      </c>
      <c r="E100" s="1" t="s">
        <v>3176</v>
      </c>
      <c r="F100" s="1" t="s">
        <v>3658</v>
      </c>
      <c r="G100" s="1" t="n">
        <v>0</v>
      </c>
    </row>
    <row r="101" customFormat="false" ht="12.8" hidden="false" customHeight="false" outlineLevel="0" collapsed="false">
      <c r="A101" s="1" t="s">
        <v>3503</v>
      </c>
      <c r="B101" s="1" t="s">
        <v>3504</v>
      </c>
      <c r="C101" s="1" t="n">
        <v>200</v>
      </c>
      <c r="D101" s="1" t="s">
        <v>3505</v>
      </c>
      <c r="E101" s="1" t="s">
        <v>3176</v>
      </c>
      <c r="F101" s="1" t="s">
        <v>3659</v>
      </c>
      <c r="G101" s="1" t="s">
        <v>3656</v>
      </c>
    </row>
    <row r="102" customFormat="false" ht="12.8" hidden="false" customHeight="false" outlineLevel="0" collapsed="false">
      <c r="A102" s="1" t="s">
        <v>3503</v>
      </c>
      <c r="B102" s="1" t="s">
        <v>3504</v>
      </c>
      <c r="C102" s="1" t="n">
        <v>200</v>
      </c>
      <c r="D102" s="1" t="s">
        <v>3505</v>
      </c>
      <c r="E102" s="1" t="s">
        <v>3176</v>
      </c>
      <c r="F102" s="1" t="s">
        <v>3660</v>
      </c>
      <c r="G102" s="1" t="n">
        <v>17140</v>
      </c>
    </row>
    <row r="103" customFormat="false" ht="12.8" hidden="false" customHeight="false" outlineLevel="0" collapsed="false">
      <c r="A103" s="1" t="s">
        <v>3503</v>
      </c>
      <c r="B103" s="1" t="s">
        <v>3504</v>
      </c>
      <c r="C103" s="1" t="n">
        <v>200</v>
      </c>
      <c r="D103" s="1" t="s">
        <v>3505</v>
      </c>
      <c r="E103" s="1" t="s">
        <v>3176</v>
      </c>
      <c r="F103" s="1" t="s">
        <v>3661</v>
      </c>
      <c r="G103" s="1" t="s">
        <v>3662</v>
      </c>
    </row>
    <row r="104" customFormat="false" ht="12.8" hidden="false" customHeight="false" outlineLevel="0" collapsed="false">
      <c r="A104" s="1" t="s">
        <v>3503</v>
      </c>
      <c r="B104" s="1" t="s">
        <v>3504</v>
      </c>
      <c r="C104" s="1" t="n">
        <v>200</v>
      </c>
      <c r="D104" s="1" t="s">
        <v>3505</v>
      </c>
      <c r="E104" s="1" t="s">
        <v>3176</v>
      </c>
      <c r="F104" s="1" t="s">
        <v>3663</v>
      </c>
      <c r="G104" s="1" t="n">
        <v>10</v>
      </c>
    </row>
    <row r="105" customFormat="false" ht="12.8" hidden="false" customHeight="false" outlineLevel="0" collapsed="false">
      <c r="A105" s="1" t="s">
        <v>3503</v>
      </c>
      <c r="B105" s="1" t="s">
        <v>3504</v>
      </c>
      <c r="C105" s="1" t="n">
        <v>200</v>
      </c>
      <c r="D105" s="1" t="s">
        <v>3505</v>
      </c>
      <c r="E105" s="1" t="s">
        <v>3176</v>
      </c>
      <c r="F105" s="1" t="s">
        <v>3664</v>
      </c>
      <c r="G105" s="1" t="n">
        <v>10</v>
      </c>
    </row>
    <row r="106" customFormat="false" ht="12.8" hidden="false" customHeight="false" outlineLevel="0" collapsed="false">
      <c r="A106" s="1" t="s">
        <v>3503</v>
      </c>
      <c r="B106" s="1" t="s">
        <v>3504</v>
      </c>
      <c r="C106" s="1" t="n">
        <v>200</v>
      </c>
      <c r="D106" s="1" t="s">
        <v>3505</v>
      </c>
      <c r="E106" s="1" t="s">
        <v>3176</v>
      </c>
      <c r="F106" s="1" t="s">
        <v>3665</v>
      </c>
      <c r="G106" s="1" t="n">
        <v>5</v>
      </c>
    </row>
    <row r="107" customFormat="false" ht="12.8" hidden="false" customHeight="false" outlineLevel="0" collapsed="false">
      <c r="A107" s="1" t="s">
        <v>3503</v>
      </c>
      <c r="B107" s="1" t="s">
        <v>3504</v>
      </c>
      <c r="C107" s="1" t="n">
        <v>200</v>
      </c>
      <c r="D107" s="1" t="s">
        <v>3505</v>
      </c>
      <c r="E107" s="1" t="s">
        <v>3176</v>
      </c>
      <c r="F107" s="1" t="s">
        <v>3666</v>
      </c>
      <c r="G107" s="8" t="s">
        <v>3667</v>
      </c>
    </row>
    <row r="108" customFormat="false" ht="12.8" hidden="false" customHeight="false" outlineLevel="0" collapsed="false">
      <c r="A108" s="1" t="s">
        <v>3503</v>
      </c>
      <c r="B108" s="1" t="s">
        <v>3504</v>
      </c>
      <c r="C108" s="1" t="n">
        <v>200</v>
      </c>
      <c r="D108" s="1" t="s">
        <v>3505</v>
      </c>
      <c r="E108" s="1" t="s">
        <v>3176</v>
      </c>
      <c r="F108" s="1" t="s">
        <v>3668</v>
      </c>
      <c r="G108" s="8" t="s">
        <v>3516</v>
      </c>
    </row>
    <row r="109" customFormat="false" ht="12.8" hidden="false" customHeight="false" outlineLevel="0" collapsed="false">
      <c r="A109" s="1" t="s">
        <v>3503</v>
      </c>
      <c r="B109" s="1" t="s">
        <v>3504</v>
      </c>
      <c r="C109" s="1" t="n">
        <v>200</v>
      </c>
      <c r="D109" s="1" t="s">
        <v>3505</v>
      </c>
      <c r="E109" s="1" t="s">
        <v>3176</v>
      </c>
      <c r="F109" s="1" t="s">
        <v>3669</v>
      </c>
      <c r="G109" s="8" t="s">
        <v>3516</v>
      </c>
    </row>
    <row r="110" customFormat="false" ht="12.8" hidden="false" customHeight="false" outlineLevel="0" collapsed="false">
      <c r="A110" s="1" t="s">
        <v>3503</v>
      </c>
      <c r="B110" s="1" t="s">
        <v>3504</v>
      </c>
      <c r="C110" s="1" t="n">
        <v>200</v>
      </c>
      <c r="D110" s="1" t="s">
        <v>3505</v>
      </c>
      <c r="E110" s="1" t="s">
        <v>3176</v>
      </c>
      <c r="F110" s="1" t="s">
        <v>3670</v>
      </c>
      <c r="G110" s="1" t="s">
        <v>3671</v>
      </c>
    </row>
    <row r="111" customFormat="false" ht="12.8" hidden="false" customHeight="false" outlineLevel="0" collapsed="false">
      <c r="A111" s="1" t="s">
        <v>3503</v>
      </c>
      <c r="B111" s="1" t="s">
        <v>3504</v>
      </c>
      <c r="C111" s="1" t="n">
        <v>200</v>
      </c>
      <c r="D111" s="1" t="s">
        <v>3505</v>
      </c>
      <c r="E111" s="1" t="s">
        <v>3176</v>
      </c>
      <c r="F111" s="1" t="s">
        <v>3672</v>
      </c>
      <c r="G111" s="1" t="s">
        <v>3671</v>
      </c>
    </row>
    <row r="112" customFormat="false" ht="12.8" hidden="false" customHeight="false" outlineLevel="0" collapsed="false">
      <c r="A112" s="1" t="s">
        <v>3503</v>
      </c>
      <c r="B112" s="1" t="s">
        <v>3504</v>
      </c>
      <c r="C112" s="1" t="n">
        <v>200</v>
      </c>
      <c r="D112" s="1" t="s">
        <v>3505</v>
      </c>
      <c r="E112" s="1" t="s">
        <v>3176</v>
      </c>
      <c r="F112" s="1" t="s">
        <v>3673</v>
      </c>
      <c r="G112" s="8" t="s">
        <v>3667</v>
      </c>
    </row>
    <row r="1048499" customFormat="false" ht="12.8" hidden="false" customHeight="false" outlineLevel="0" collapsed="false">
      <c r="A1048499" s="2" t="s">
        <v>3154</v>
      </c>
      <c r="B1048499" s="2" t="s">
        <v>3155</v>
      </c>
      <c r="C1048499" s="2" t="s">
        <v>3156</v>
      </c>
      <c r="D1048499" s="2" t="s">
        <v>3149</v>
      </c>
      <c r="E1048499" s="2" t="s">
        <v>3157</v>
      </c>
      <c r="F1048499" s="2" t="s">
        <v>3158</v>
      </c>
      <c r="G1048499" s="2" t="s">
        <v>3159</v>
      </c>
    </row>
    <row r="1048500" customFormat="false" ht="12.8" hidden="false" customHeight="false" outlineLevel="0" collapsed="false">
      <c r="A1048500" s="1" t="s">
        <v>3503</v>
      </c>
      <c r="B1048500" s="1" t="s">
        <v>3504</v>
      </c>
      <c r="C1048500" s="1" t="n">
        <v>200</v>
      </c>
      <c r="D1048500" s="1" t="s">
        <v>3505</v>
      </c>
      <c r="E1048500" s="1" t="s">
        <v>3176</v>
      </c>
      <c r="F1048500" s="1" t="s">
        <v>3506</v>
      </c>
      <c r="G1048500" s="1" t="s">
        <v>3507</v>
      </c>
    </row>
    <row r="1048501" customFormat="false" ht="12.8" hidden="false" customHeight="false" outlineLevel="0" collapsed="false">
      <c r="A1048501" s="1" t="s">
        <v>3503</v>
      </c>
      <c r="B1048501" s="1" t="s">
        <v>3504</v>
      </c>
      <c r="C1048501" s="1" t="n">
        <v>200</v>
      </c>
      <c r="D1048501" s="1" t="s">
        <v>3505</v>
      </c>
      <c r="E1048501" s="1" t="s">
        <v>3176</v>
      </c>
      <c r="F1048501" s="1" t="s">
        <v>3508</v>
      </c>
      <c r="G1048501" s="1" t="s">
        <v>3509</v>
      </c>
    </row>
    <row r="1048502" customFormat="false" ht="12.8" hidden="false" customHeight="false" outlineLevel="0" collapsed="false">
      <c r="A1048502" s="1" t="s">
        <v>3503</v>
      </c>
      <c r="B1048502" s="1" t="s">
        <v>3504</v>
      </c>
      <c r="C1048502" s="1" t="n">
        <v>200</v>
      </c>
      <c r="D1048502" s="1" t="s">
        <v>3505</v>
      </c>
      <c r="E1048502" s="1" t="s">
        <v>3176</v>
      </c>
      <c r="F1048502" s="1" t="s">
        <v>3510</v>
      </c>
      <c r="G1048502" s="1" t="s">
        <v>3511</v>
      </c>
    </row>
    <row r="1048503" customFormat="false" ht="12.8" hidden="false" customHeight="false" outlineLevel="0" collapsed="false">
      <c r="A1048503" s="1" t="s">
        <v>3503</v>
      </c>
      <c r="B1048503" s="1" t="s">
        <v>3504</v>
      </c>
      <c r="C1048503" s="1" t="n">
        <v>200</v>
      </c>
      <c r="D1048503" s="1" t="s">
        <v>3505</v>
      </c>
      <c r="E1048503" s="1" t="s">
        <v>3176</v>
      </c>
      <c r="F1048503" s="1" t="s">
        <v>3512</v>
      </c>
      <c r="G1048503" s="1" t="s">
        <v>3511</v>
      </c>
    </row>
    <row r="1048504" customFormat="false" ht="12.8" hidden="false" customHeight="false" outlineLevel="0" collapsed="false">
      <c r="A1048504" s="1" t="s">
        <v>3503</v>
      </c>
      <c r="B1048504" s="1" t="s">
        <v>3504</v>
      </c>
      <c r="C1048504" s="1" t="n">
        <v>200</v>
      </c>
      <c r="D1048504" s="1" t="s">
        <v>3505</v>
      </c>
      <c r="E1048504" s="1" t="s">
        <v>3176</v>
      </c>
      <c r="F1048504" s="1" t="s">
        <v>3513</v>
      </c>
      <c r="G1048504" s="1" t="s">
        <v>3514</v>
      </c>
    </row>
    <row r="1048505" customFormat="false" ht="12.8" hidden="false" customHeight="false" outlineLevel="0" collapsed="false">
      <c r="A1048505" s="1" t="s">
        <v>3503</v>
      </c>
      <c r="B1048505" s="1" t="s">
        <v>3504</v>
      </c>
      <c r="C1048505" s="1" t="n">
        <v>200</v>
      </c>
      <c r="D1048505" s="1" t="s">
        <v>3505</v>
      </c>
      <c r="E1048505" s="1" t="s">
        <v>3176</v>
      </c>
      <c r="F1048505" s="1" t="s">
        <v>3515</v>
      </c>
      <c r="G1048505" s="8" t="s">
        <v>3516</v>
      </c>
    </row>
    <row r="1048506" customFormat="false" ht="12.8" hidden="false" customHeight="false" outlineLevel="0" collapsed="false">
      <c r="A1048506" s="1" t="s">
        <v>3503</v>
      </c>
      <c r="B1048506" s="1" t="s">
        <v>3504</v>
      </c>
      <c r="C1048506" s="1" t="n">
        <v>200</v>
      </c>
      <c r="D1048506" s="1" t="s">
        <v>3505</v>
      </c>
      <c r="E1048506" s="1" t="s">
        <v>3176</v>
      </c>
      <c r="F1048506" s="1" t="s">
        <v>3517</v>
      </c>
      <c r="G1048506" s="1" t="n">
        <v>8080</v>
      </c>
    </row>
    <row r="1048507" customFormat="false" ht="12.8" hidden="false" customHeight="false" outlineLevel="0" collapsed="false">
      <c r="A1048507" s="1" t="s">
        <v>3503</v>
      </c>
      <c r="B1048507" s="1" t="s">
        <v>3504</v>
      </c>
      <c r="C1048507" s="1" t="n">
        <v>200</v>
      </c>
      <c r="D1048507" s="1" t="s">
        <v>3505</v>
      </c>
      <c r="E1048507" s="1" t="s">
        <v>3176</v>
      </c>
      <c r="F1048507" s="1" t="s">
        <v>3518</v>
      </c>
      <c r="G1048507" s="1" t="s">
        <v>3519</v>
      </c>
    </row>
    <row r="1048508" customFormat="false" ht="12.8" hidden="false" customHeight="false" outlineLevel="0" collapsed="false">
      <c r="A1048508" s="1" t="s">
        <v>3503</v>
      </c>
      <c r="B1048508" s="1" t="s">
        <v>3504</v>
      </c>
      <c r="C1048508" s="1" t="n">
        <v>200</v>
      </c>
      <c r="D1048508" s="1" t="s">
        <v>3505</v>
      </c>
      <c r="E1048508" s="1" t="s">
        <v>3176</v>
      </c>
      <c r="F1048508" s="1" t="s">
        <v>3520</v>
      </c>
      <c r="G1048508" s="1" t="s">
        <v>3521</v>
      </c>
    </row>
    <row r="1048509" customFormat="false" ht="12.8" hidden="false" customHeight="false" outlineLevel="0" collapsed="false">
      <c r="A1048509" s="1" t="s">
        <v>3503</v>
      </c>
      <c r="B1048509" s="1" t="s">
        <v>3504</v>
      </c>
      <c r="C1048509" s="1" t="n">
        <v>200</v>
      </c>
      <c r="D1048509" s="1" t="s">
        <v>3505</v>
      </c>
      <c r="E1048509" s="1" t="s">
        <v>3176</v>
      </c>
      <c r="F1048509" s="1" t="s">
        <v>3522</v>
      </c>
      <c r="G1048509" s="1" t="n">
        <v>26214400</v>
      </c>
    </row>
    <row r="1048510" customFormat="false" ht="12.8" hidden="false" customHeight="false" outlineLevel="0" collapsed="false">
      <c r="A1048510" s="1" t="s">
        <v>3503</v>
      </c>
      <c r="B1048510" s="1" t="s">
        <v>3504</v>
      </c>
      <c r="C1048510" s="1" t="n">
        <v>200</v>
      </c>
      <c r="D1048510" s="1" t="s">
        <v>3505</v>
      </c>
      <c r="E1048510" s="1" t="s">
        <v>3176</v>
      </c>
      <c r="F1048510" s="1" t="s">
        <v>3523</v>
      </c>
      <c r="G1048510" s="1" t="s">
        <v>3524</v>
      </c>
    </row>
    <row r="1048511" customFormat="false" ht="12.8" hidden="false" customHeight="false" outlineLevel="0" collapsed="false">
      <c r="A1048511" s="1" t="s">
        <v>3503</v>
      </c>
      <c r="B1048511" s="1" t="s">
        <v>3504</v>
      </c>
      <c r="C1048511" s="1" t="n">
        <v>200</v>
      </c>
      <c r="D1048511" s="1" t="s">
        <v>3505</v>
      </c>
      <c r="E1048511" s="1" t="s">
        <v>3176</v>
      </c>
      <c r="F1048511" s="1" t="s">
        <v>3525</v>
      </c>
      <c r="G1048511" s="1" t="s">
        <v>3526</v>
      </c>
    </row>
    <row r="1048512" customFormat="false" ht="12.8" hidden="false" customHeight="false" outlineLevel="0" collapsed="false">
      <c r="A1048512" s="1" t="s">
        <v>3503</v>
      </c>
      <c r="B1048512" s="1" t="s">
        <v>3504</v>
      </c>
      <c r="C1048512" s="1" t="n">
        <v>200</v>
      </c>
      <c r="D1048512" s="1" t="s">
        <v>3505</v>
      </c>
      <c r="E1048512" s="1" t="s">
        <v>3176</v>
      </c>
      <c r="F1048512" s="1" t="s">
        <v>3527</v>
      </c>
      <c r="G1048512" s="1" t="s">
        <v>3528</v>
      </c>
    </row>
    <row r="1048513" customFormat="false" ht="12.8" hidden="false" customHeight="false" outlineLevel="0" collapsed="false">
      <c r="A1048513" s="1" t="s">
        <v>3503</v>
      </c>
      <c r="B1048513" s="1" t="s">
        <v>3504</v>
      </c>
      <c r="C1048513" s="1" t="n">
        <v>200</v>
      </c>
      <c r="D1048513" s="1" t="s">
        <v>3505</v>
      </c>
      <c r="E1048513" s="1" t="s">
        <v>3176</v>
      </c>
      <c r="F1048513" s="1" t="s">
        <v>3529</v>
      </c>
      <c r="G1048513" s="1" t="s">
        <v>3530</v>
      </c>
    </row>
    <row r="1048514" customFormat="false" ht="12.8" hidden="false" customHeight="false" outlineLevel="0" collapsed="false">
      <c r="A1048514" s="1" t="s">
        <v>3503</v>
      </c>
      <c r="B1048514" s="1" t="s">
        <v>3504</v>
      </c>
      <c r="C1048514" s="1" t="n">
        <v>200</v>
      </c>
      <c r="D1048514" s="1" t="s">
        <v>3505</v>
      </c>
      <c r="E1048514" s="1" t="s">
        <v>3176</v>
      </c>
      <c r="F1048514" s="1" t="s">
        <v>3531</v>
      </c>
      <c r="G1048514" s="1" t="s">
        <v>3532</v>
      </c>
    </row>
    <row r="1048515" customFormat="false" ht="12.8" hidden="false" customHeight="false" outlineLevel="0" collapsed="false">
      <c r="A1048515" s="1" t="s">
        <v>3503</v>
      </c>
      <c r="B1048515" s="1" t="s">
        <v>3504</v>
      </c>
      <c r="C1048515" s="1" t="n">
        <v>200</v>
      </c>
      <c r="D1048515" s="1" t="s">
        <v>3505</v>
      </c>
      <c r="E1048515" s="1" t="s">
        <v>3176</v>
      </c>
      <c r="F1048515" s="1" t="s">
        <v>3533</v>
      </c>
      <c r="G1048515" s="1" t="s">
        <v>3534</v>
      </c>
    </row>
    <row r="1048516" customFormat="false" ht="12.8" hidden="false" customHeight="false" outlineLevel="0" collapsed="false">
      <c r="A1048516" s="1" t="s">
        <v>3503</v>
      </c>
      <c r="B1048516" s="1" t="s">
        <v>3504</v>
      </c>
      <c r="C1048516" s="1" t="n">
        <v>200</v>
      </c>
      <c r="D1048516" s="1" t="s">
        <v>3505</v>
      </c>
      <c r="E1048516" s="1" t="s">
        <v>3176</v>
      </c>
      <c r="F1048516" s="1" t="s">
        <v>3535</v>
      </c>
      <c r="G1048516" s="1" t="s">
        <v>3536</v>
      </c>
    </row>
    <row r="1048517" customFormat="false" ht="12.8" hidden="false" customHeight="false" outlineLevel="0" collapsed="false">
      <c r="A1048517" s="1" t="s">
        <v>3503</v>
      </c>
      <c r="B1048517" s="1" t="s">
        <v>3504</v>
      </c>
      <c r="C1048517" s="1" t="n">
        <v>200</v>
      </c>
      <c r="D1048517" s="1" t="s">
        <v>3505</v>
      </c>
      <c r="E1048517" s="1" t="s">
        <v>3176</v>
      </c>
      <c r="F1048517" s="1" t="s">
        <v>3537</v>
      </c>
      <c r="G1048517" s="1" t="s">
        <v>3538</v>
      </c>
    </row>
    <row r="1048518" customFormat="false" ht="12.8" hidden="false" customHeight="false" outlineLevel="0" collapsed="false">
      <c r="A1048518" s="1" t="s">
        <v>3503</v>
      </c>
      <c r="B1048518" s="1" t="s">
        <v>3504</v>
      </c>
      <c r="C1048518" s="1" t="n">
        <v>200</v>
      </c>
      <c r="D1048518" s="1" t="s">
        <v>3505</v>
      </c>
      <c r="E1048518" s="1" t="s">
        <v>3176</v>
      </c>
      <c r="F1048518" s="1" t="s">
        <v>3539</v>
      </c>
      <c r="G1048518" s="1" t="s">
        <v>3540</v>
      </c>
    </row>
    <row r="1048519" customFormat="false" ht="12.8" hidden="false" customHeight="false" outlineLevel="0" collapsed="false">
      <c r="A1048519" s="1" t="s">
        <v>3503</v>
      </c>
      <c r="B1048519" s="1" t="s">
        <v>3504</v>
      </c>
      <c r="C1048519" s="1" t="n">
        <v>200</v>
      </c>
      <c r="D1048519" s="1" t="s">
        <v>3505</v>
      </c>
      <c r="E1048519" s="1" t="s">
        <v>3176</v>
      </c>
      <c r="F1048519" s="1" t="s">
        <v>3541</v>
      </c>
      <c r="G1048519" s="1" t="s">
        <v>3542</v>
      </c>
    </row>
    <row r="1048520" customFormat="false" ht="12.8" hidden="false" customHeight="false" outlineLevel="0" collapsed="false">
      <c r="A1048520" s="1" t="s">
        <v>3503</v>
      </c>
      <c r="B1048520" s="1" t="s">
        <v>3504</v>
      </c>
      <c r="C1048520" s="1" t="n">
        <v>200</v>
      </c>
      <c r="D1048520" s="1" t="s">
        <v>3505</v>
      </c>
      <c r="E1048520" s="1" t="s">
        <v>3176</v>
      </c>
      <c r="F1048520" s="1" t="s">
        <v>3543</v>
      </c>
      <c r="G1048520" s="1" t="s">
        <v>3544</v>
      </c>
    </row>
    <row r="1048521" customFormat="false" ht="12.8" hidden="false" customHeight="false" outlineLevel="0" collapsed="false">
      <c r="A1048521" s="1" t="s">
        <v>3503</v>
      </c>
      <c r="B1048521" s="1" t="s">
        <v>3504</v>
      </c>
      <c r="C1048521" s="1" t="n">
        <v>200</v>
      </c>
      <c r="D1048521" s="1" t="s">
        <v>3505</v>
      </c>
      <c r="E1048521" s="1" t="s">
        <v>3176</v>
      </c>
      <c r="F1048521" s="1" t="s">
        <v>3545</v>
      </c>
      <c r="G1048521" s="1" t="s">
        <v>3546</v>
      </c>
    </row>
    <row r="1048522" customFormat="false" ht="12.8" hidden="false" customHeight="false" outlineLevel="0" collapsed="false">
      <c r="A1048522" s="1" t="s">
        <v>3503</v>
      </c>
      <c r="B1048522" s="1" t="s">
        <v>3504</v>
      </c>
      <c r="C1048522" s="1" t="n">
        <v>200</v>
      </c>
      <c r="D1048522" s="1" t="s">
        <v>3505</v>
      </c>
      <c r="E1048522" s="1" t="s">
        <v>3176</v>
      </c>
      <c r="F1048522" s="1" t="s">
        <v>3547</v>
      </c>
      <c r="G1048522" s="1" t="s">
        <v>3524</v>
      </c>
    </row>
    <row r="1048523" customFormat="false" ht="12.8" hidden="false" customHeight="false" outlineLevel="0" collapsed="false">
      <c r="A1048523" s="1" t="s">
        <v>3503</v>
      </c>
      <c r="B1048523" s="1" t="s">
        <v>3504</v>
      </c>
      <c r="C1048523" s="1" t="n">
        <v>200</v>
      </c>
      <c r="D1048523" s="1" t="s">
        <v>3505</v>
      </c>
      <c r="E1048523" s="1" t="s">
        <v>3176</v>
      </c>
      <c r="F1048523" s="1" t="s">
        <v>3548</v>
      </c>
      <c r="G1048523" s="1" t="s">
        <v>3526</v>
      </c>
    </row>
    <row r="1048524" customFormat="false" ht="12.8" hidden="false" customHeight="false" outlineLevel="0" collapsed="false">
      <c r="A1048524" s="1" t="s">
        <v>3503</v>
      </c>
      <c r="B1048524" s="1" t="s">
        <v>3504</v>
      </c>
      <c r="C1048524" s="1" t="n">
        <v>200</v>
      </c>
      <c r="D1048524" s="1" t="s">
        <v>3505</v>
      </c>
      <c r="E1048524" s="1" t="s">
        <v>3176</v>
      </c>
      <c r="F1048524" s="1" t="s">
        <v>3549</v>
      </c>
      <c r="G1048524" s="1" t="s">
        <v>3528</v>
      </c>
    </row>
    <row r="1048525" customFormat="false" ht="12.8" hidden="false" customHeight="false" outlineLevel="0" collapsed="false">
      <c r="A1048525" s="1" t="s">
        <v>3503</v>
      </c>
      <c r="B1048525" s="1" t="s">
        <v>3504</v>
      </c>
      <c r="C1048525" s="1" t="n">
        <v>200</v>
      </c>
      <c r="D1048525" s="1" t="s">
        <v>3505</v>
      </c>
      <c r="E1048525" s="1" t="s">
        <v>3176</v>
      </c>
      <c r="F1048525" s="1" t="s">
        <v>3550</v>
      </c>
      <c r="G1048525" s="1" t="s">
        <v>3530</v>
      </c>
    </row>
    <row r="1048526" customFormat="false" ht="12.8" hidden="false" customHeight="false" outlineLevel="0" collapsed="false">
      <c r="A1048526" s="1" t="s">
        <v>3503</v>
      </c>
      <c r="B1048526" s="1" t="s">
        <v>3504</v>
      </c>
      <c r="C1048526" s="1" t="n">
        <v>200</v>
      </c>
      <c r="D1048526" s="1" t="s">
        <v>3505</v>
      </c>
      <c r="E1048526" s="1" t="s">
        <v>3176</v>
      </c>
      <c r="F1048526" s="1" t="s">
        <v>3551</v>
      </c>
      <c r="G1048526" s="1" t="s">
        <v>3536</v>
      </c>
    </row>
    <row r="1048527" customFormat="false" ht="12.8" hidden="false" customHeight="false" outlineLevel="0" collapsed="false">
      <c r="A1048527" s="1" t="s">
        <v>3503</v>
      </c>
      <c r="B1048527" s="1" t="s">
        <v>3504</v>
      </c>
      <c r="C1048527" s="1" t="n">
        <v>200</v>
      </c>
      <c r="D1048527" s="1" t="s">
        <v>3505</v>
      </c>
      <c r="E1048527" s="1" t="s">
        <v>3176</v>
      </c>
      <c r="F1048527" s="1" t="s">
        <v>3552</v>
      </c>
      <c r="G1048527" s="1" t="s">
        <v>3538</v>
      </c>
    </row>
    <row r="1048528" customFormat="false" ht="12.8" hidden="false" customHeight="false" outlineLevel="0" collapsed="false">
      <c r="A1048528" s="1" t="s">
        <v>3503</v>
      </c>
      <c r="B1048528" s="1" t="s">
        <v>3504</v>
      </c>
      <c r="C1048528" s="1" t="n">
        <v>200</v>
      </c>
      <c r="D1048528" s="1" t="s">
        <v>3505</v>
      </c>
      <c r="E1048528" s="1" t="s">
        <v>3176</v>
      </c>
      <c r="F1048528" s="1" t="s">
        <v>3553</v>
      </c>
      <c r="G1048528" s="1" t="s">
        <v>3540</v>
      </c>
    </row>
    <row r="1048529" customFormat="false" ht="12.8" hidden="false" customHeight="false" outlineLevel="0" collapsed="false">
      <c r="A1048529" s="1" t="s">
        <v>3503</v>
      </c>
      <c r="B1048529" s="1" t="s">
        <v>3504</v>
      </c>
      <c r="C1048529" s="1" t="n">
        <v>200</v>
      </c>
      <c r="D1048529" s="1" t="s">
        <v>3505</v>
      </c>
      <c r="E1048529" s="1" t="s">
        <v>3176</v>
      </c>
      <c r="F1048529" s="1" t="s">
        <v>3554</v>
      </c>
      <c r="G1048529" s="1" t="s">
        <v>3542</v>
      </c>
    </row>
    <row r="1048530" customFormat="false" ht="12.8" hidden="false" customHeight="false" outlineLevel="0" collapsed="false">
      <c r="A1048530" s="1" t="s">
        <v>3503</v>
      </c>
      <c r="B1048530" s="1" t="s">
        <v>3504</v>
      </c>
      <c r="C1048530" s="1" t="n">
        <v>200</v>
      </c>
      <c r="D1048530" s="1" t="s">
        <v>3505</v>
      </c>
      <c r="E1048530" s="1" t="s">
        <v>3176</v>
      </c>
      <c r="F1048530" s="1" t="s">
        <v>3555</v>
      </c>
      <c r="G1048530" s="1" t="s">
        <v>3544</v>
      </c>
    </row>
    <row r="1048531" customFormat="false" ht="12.8" hidden="false" customHeight="false" outlineLevel="0" collapsed="false">
      <c r="A1048531" s="1" t="s">
        <v>3503</v>
      </c>
      <c r="B1048531" s="1" t="s">
        <v>3504</v>
      </c>
      <c r="C1048531" s="1" t="n">
        <v>200</v>
      </c>
      <c r="D1048531" s="1" t="s">
        <v>3505</v>
      </c>
      <c r="E1048531" s="1" t="s">
        <v>3176</v>
      </c>
      <c r="F1048531" s="1" t="s">
        <v>3556</v>
      </c>
      <c r="G1048531" s="1" t="s">
        <v>3546</v>
      </c>
    </row>
    <row r="1048532" customFormat="false" ht="12.8" hidden="false" customHeight="false" outlineLevel="0" collapsed="false">
      <c r="A1048532" s="1" t="s">
        <v>3503</v>
      </c>
      <c r="B1048532" s="1" t="s">
        <v>3504</v>
      </c>
      <c r="C1048532" s="1" t="n">
        <v>200</v>
      </c>
      <c r="D1048532" s="1" t="s">
        <v>3505</v>
      </c>
      <c r="E1048532" s="1" t="s">
        <v>3176</v>
      </c>
      <c r="F1048532" s="1" t="s">
        <v>3557</v>
      </c>
      <c r="G1048532" s="1" t="s">
        <v>3254</v>
      </c>
    </row>
    <row r="1048533" customFormat="false" ht="12.8" hidden="false" customHeight="false" outlineLevel="0" collapsed="false">
      <c r="A1048533" s="1" t="s">
        <v>3503</v>
      </c>
      <c r="B1048533" s="1" t="s">
        <v>3504</v>
      </c>
      <c r="C1048533" s="1" t="n">
        <v>200</v>
      </c>
      <c r="D1048533" s="1" t="s">
        <v>3505</v>
      </c>
      <c r="E1048533" s="1" t="s">
        <v>3176</v>
      </c>
      <c r="F1048533" s="1" t="s">
        <v>3558</v>
      </c>
      <c r="G1048533" s="1" t="s">
        <v>3559</v>
      </c>
    </row>
    <row r="1048534" customFormat="false" ht="12.8" hidden="false" customHeight="false" outlineLevel="0" collapsed="false">
      <c r="A1048534" s="1" t="s">
        <v>3503</v>
      </c>
      <c r="B1048534" s="1" t="s">
        <v>3504</v>
      </c>
      <c r="C1048534" s="1" t="n">
        <v>200</v>
      </c>
      <c r="D1048534" s="1" t="s">
        <v>3505</v>
      </c>
      <c r="E1048534" s="1" t="s">
        <v>3176</v>
      </c>
      <c r="F1048534" s="1" t="s">
        <v>3560</v>
      </c>
      <c r="G1048534" s="1" t="s">
        <v>3561</v>
      </c>
    </row>
    <row r="1048535" customFormat="false" ht="12.8" hidden="false" customHeight="false" outlineLevel="0" collapsed="false">
      <c r="A1048535" s="1" t="s">
        <v>3503</v>
      </c>
      <c r="B1048535" s="1" t="s">
        <v>3504</v>
      </c>
      <c r="C1048535" s="1" t="n">
        <v>200</v>
      </c>
      <c r="D1048535" s="1" t="s">
        <v>3505</v>
      </c>
      <c r="E1048535" s="1" t="s">
        <v>3176</v>
      </c>
      <c r="F1048535" s="1" t="s">
        <v>3562</v>
      </c>
      <c r="G1048535" s="1" t="s">
        <v>3563</v>
      </c>
    </row>
    <row r="1048536" customFormat="false" ht="12.8" hidden="false" customHeight="false" outlineLevel="0" collapsed="false">
      <c r="A1048536" s="1" t="s">
        <v>3503</v>
      </c>
      <c r="B1048536" s="1" t="s">
        <v>3504</v>
      </c>
      <c r="C1048536" s="1" t="n">
        <v>200</v>
      </c>
      <c r="D1048536" s="1" t="s">
        <v>3505</v>
      </c>
      <c r="E1048536" s="1" t="s">
        <v>3176</v>
      </c>
      <c r="F1048536" s="1" t="s">
        <v>3564</v>
      </c>
      <c r="G1048536" s="1" t="s">
        <v>3565</v>
      </c>
    </row>
    <row r="1048537" customFormat="false" ht="12.8" hidden="false" customHeight="false" outlineLevel="0" collapsed="false">
      <c r="A1048537" s="1" t="s">
        <v>3503</v>
      </c>
      <c r="B1048537" s="1" t="s">
        <v>3504</v>
      </c>
      <c r="C1048537" s="1" t="n">
        <v>200</v>
      </c>
      <c r="D1048537" s="1" t="s">
        <v>3505</v>
      </c>
      <c r="E1048537" s="1" t="s">
        <v>3176</v>
      </c>
      <c r="F1048537" s="1" t="s">
        <v>3566</v>
      </c>
      <c r="G1048537" s="8" t="s">
        <v>3516</v>
      </c>
    </row>
    <row r="1048538" customFormat="false" ht="12.8" hidden="false" customHeight="false" outlineLevel="0" collapsed="false">
      <c r="A1048538" s="1" t="s">
        <v>3503</v>
      </c>
      <c r="B1048538" s="1" t="s">
        <v>3504</v>
      </c>
      <c r="C1048538" s="1" t="n">
        <v>200</v>
      </c>
      <c r="D1048538" s="1" t="s">
        <v>3505</v>
      </c>
      <c r="E1048538" s="1" t="s">
        <v>3176</v>
      </c>
      <c r="F1048538" s="1" t="s">
        <v>3567</v>
      </c>
      <c r="G1048538" s="1" t="s">
        <v>3568</v>
      </c>
    </row>
    <row r="1048539" customFormat="false" ht="12.8" hidden="false" customHeight="false" outlineLevel="0" collapsed="false">
      <c r="A1048539" s="1" t="s">
        <v>3503</v>
      </c>
      <c r="B1048539" s="1" t="s">
        <v>3504</v>
      </c>
      <c r="C1048539" s="1" t="n">
        <v>200</v>
      </c>
      <c r="D1048539" s="1" t="s">
        <v>3505</v>
      </c>
      <c r="E1048539" s="1" t="s">
        <v>3176</v>
      </c>
      <c r="F1048539" s="1" t="s">
        <v>3569</v>
      </c>
      <c r="G1048539" s="1" t="s">
        <v>3570</v>
      </c>
    </row>
    <row r="1048540" customFormat="false" ht="12.8" hidden="false" customHeight="false" outlineLevel="0" collapsed="false">
      <c r="A1048540" s="1" t="s">
        <v>3503</v>
      </c>
      <c r="B1048540" s="1" t="s">
        <v>3504</v>
      </c>
      <c r="C1048540" s="1" t="n">
        <v>200</v>
      </c>
      <c r="D1048540" s="1" t="s">
        <v>3505</v>
      </c>
      <c r="E1048540" s="1" t="s">
        <v>3176</v>
      </c>
      <c r="F1048540" s="1" t="s">
        <v>3571</v>
      </c>
      <c r="G1048540" s="1" t="s">
        <v>3572</v>
      </c>
    </row>
    <row r="1048541" customFormat="false" ht="12.8" hidden="false" customHeight="false" outlineLevel="0" collapsed="false">
      <c r="A1048541" s="1" t="s">
        <v>3503</v>
      </c>
      <c r="B1048541" s="1" t="s">
        <v>3504</v>
      </c>
      <c r="C1048541" s="1" t="n">
        <v>200</v>
      </c>
      <c r="D1048541" s="1" t="s">
        <v>3505</v>
      </c>
      <c r="E1048541" s="1" t="s">
        <v>3176</v>
      </c>
      <c r="F1048541" s="1" t="s">
        <v>3573</v>
      </c>
      <c r="G1048541" s="8" t="s">
        <v>3516</v>
      </c>
    </row>
    <row r="1048542" customFormat="false" ht="12.8" hidden="false" customHeight="false" outlineLevel="0" collapsed="false">
      <c r="A1048542" s="1" t="s">
        <v>3503</v>
      </c>
      <c r="B1048542" s="1" t="s">
        <v>3504</v>
      </c>
      <c r="C1048542" s="1" t="n">
        <v>200</v>
      </c>
      <c r="D1048542" s="1" t="s">
        <v>3505</v>
      </c>
      <c r="E1048542" s="1" t="s">
        <v>3176</v>
      </c>
      <c r="F1048542" s="1" t="s">
        <v>3574</v>
      </c>
      <c r="G1048542" s="1" t="s">
        <v>3575</v>
      </c>
    </row>
    <row r="1048543" customFormat="false" ht="12.8" hidden="false" customHeight="false" outlineLevel="0" collapsed="false">
      <c r="A1048543" s="1" t="s">
        <v>3503</v>
      </c>
      <c r="B1048543" s="1" t="s">
        <v>3504</v>
      </c>
      <c r="C1048543" s="1" t="n">
        <v>200</v>
      </c>
      <c r="D1048543" s="1" t="s">
        <v>3505</v>
      </c>
      <c r="E1048543" s="1" t="s">
        <v>3176</v>
      </c>
      <c r="F1048543" s="1" t="s">
        <v>3576</v>
      </c>
      <c r="G1048543" s="8" t="s">
        <v>3516</v>
      </c>
    </row>
    <row r="1048544" customFormat="false" ht="12.8" hidden="false" customHeight="false" outlineLevel="0" collapsed="false">
      <c r="A1048544" s="1" t="s">
        <v>3503</v>
      </c>
      <c r="B1048544" s="1" t="s">
        <v>3504</v>
      </c>
      <c r="C1048544" s="1" t="n">
        <v>200</v>
      </c>
      <c r="D1048544" s="1" t="s">
        <v>3505</v>
      </c>
      <c r="E1048544" s="1" t="s">
        <v>3176</v>
      </c>
      <c r="F1048544" s="1" t="s">
        <v>3577</v>
      </c>
      <c r="G1048544" s="8" t="s">
        <v>3516</v>
      </c>
    </row>
    <row r="1048545" customFormat="false" ht="12.8" hidden="false" customHeight="false" outlineLevel="0" collapsed="false">
      <c r="A1048545" s="1" t="s">
        <v>3503</v>
      </c>
      <c r="B1048545" s="1" t="s">
        <v>3504</v>
      </c>
      <c r="C1048545" s="1" t="n">
        <v>200</v>
      </c>
      <c r="D1048545" s="1" t="s">
        <v>3505</v>
      </c>
      <c r="E1048545" s="1" t="s">
        <v>3176</v>
      </c>
      <c r="F1048545" s="1" t="s">
        <v>3318</v>
      </c>
      <c r="G1048545" s="1" t="s">
        <v>3578</v>
      </c>
    </row>
    <row r="1048546" customFormat="false" ht="12.8" hidden="false" customHeight="false" outlineLevel="0" collapsed="false">
      <c r="A1048546" s="1" t="s">
        <v>3503</v>
      </c>
      <c r="B1048546" s="1" t="s">
        <v>3504</v>
      </c>
      <c r="C1048546" s="1" t="n">
        <v>200</v>
      </c>
      <c r="D1048546" s="1" t="s">
        <v>3505</v>
      </c>
      <c r="E1048546" s="1" t="s">
        <v>3176</v>
      </c>
      <c r="F1048546" s="1" t="s">
        <v>3436</v>
      </c>
      <c r="G1048546" s="1" t="s">
        <v>3244</v>
      </c>
    </row>
    <row r="1048547" customFormat="false" ht="12.8" hidden="false" customHeight="false" outlineLevel="0" collapsed="false">
      <c r="A1048547" s="1" t="s">
        <v>3503</v>
      </c>
      <c r="B1048547" s="1" t="s">
        <v>3504</v>
      </c>
      <c r="C1048547" s="1" t="n">
        <v>200</v>
      </c>
      <c r="D1048547" s="1" t="s">
        <v>3505</v>
      </c>
      <c r="E1048547" s="1" t="s">
        <v>3176</v>
      </c>
      <c r="F1048547" s="1" t="s">
        <v>3579</v>
      </c>
      <c r="G1048547" s="1" t="s">
        <v>3580</v>
      </c>
    </row>
    <row r="1048548" customFormat="false" ht="12.8" hidden="false" customHeight="false" outlineLevel="0" collapsed="false">
      <c r="A1048548" s="1" t="s">
        <v>3503</v>
      </c>
      <c r="B1048548" s="1" t="s">
        <v>3504</v>
      </c>
      <c r="C1048548" s="1" t="n">
        <v>200</v>
      </c>
      <c r="D1048548" s="1" t="s">
        <v>3505</v>
      </c>
      <c r="E1048548" s="1" t="s">
        <v>3176</v>
      </c>
      <c r="F1048548" s="1" t="s">
        <v>3198</v>
      </c>
      <c r="G1048548" s="1" t="s">
        <v>3581</v>
      </c>
    </row>
    <row r="1048549" customFormat="false" ht="12.8" hidden="false" customHeight="false" outlineLevel="0" collapsed="false">
      <c r="A1048549" s="1" t="s">
        <v>3503</v>
      </c>
      <c r="B1048549" s="1" t="s">
        <v>3504</v>
      </c>
      <c r="C1048549" s="1" t="n">
        <v>200</v>
      </c>
      <c r="D1048549" s="1" t="s">
        <v>3505</v>
      </c>
      <c r="E1048549" s="1" t="s">
        <v>3176</v>
      </c>
      <c r="F1048549" s="1" t="s">
        <v>3482</v>
      </c>
      <c r="G1048549" s="1" t="s">
        <v>3582</v>
      </c>
    </row>
    <row r="1048550" customFormat="false" ht="12.8" hidden="false" customHeight="false" outlineLevel="0" collapsed="false">
      <c r="A1048550" s="1" t="s">
        <v>3503</v>
      </c>
      <c r="B1048550" s="1" t="s">
        <v>3504</v>
      </c>
      <c r="C1048550" s="1" t="n">
        <v>200</v>
      </c>
      <c r="D1048550" s="1" t="s">
        <v>3505</v>
      </c>
      <c r="E1048550" s="1" t="s">
        <v>3176</v>
      </c>
      <c r="F1048550" s="1" t="s">
        <v>3583</v>
      </c>
      <c r="G1048550" s="1" t="s">
        <v>3584</v>
      </c>
    </row>
    <row r="1048551" customFormat="false" ht="12.8" hidden="false" customHeight="false" outlineLevel="0" collapsed="false">
      <c r="A1048551" s="1" t="s">
        <v>3503</v>
      </c>
      <c r="B1048551" s="1" t="s">
        <v>3504</v>
      </c>
      <c r="C1048551" s="1" t="n">
        <v>200</v>
      </c>
      <c r="D1048551" s="1" t="s">
        <v>3505</v>
      </c>
      <c r="E1048551" s="1" t="s">
        <v>3176</v>
      </c>
      <c r="F1048551" s="1" t="s">
        <v>3585</v>
      </c>
      <c r="G1048551" s="1" t="s">
        <v>3586</v>
      </c>
    </row>
    <row r="1048552" customFormat="false" ht="12.8" hidden="false" customHeight="false" outlineLevel="0" collapsed="false">
      <c r="A1048552" s="1" t="s">
        <v>3503</v>
      </c>
      <c r="B1048552" s="1" t="s">
        <v>3504</v>
      </c>
      <c r="C1048552" s="1" t="n">
        <v>200</v>
      </c>
      <c r="D1048552" s="1" t="s">
        <v>3505</v>
      </c>
      <c r="E1048552" s="1" t="s">
        <v>3176</v>
      </c>
      <c r="F1048552" s="1" t="s">
        <v>3587</v>
      </c>
      <c r="G1048552" s="1" t="s">
        <v>3588</v>
      </c>
    </row>
    <row r="1048553" customFormat="false" ht="12.8" hidden="false" customHeight="false" outlineLevel="0" collapsed="false">
      <c r="A1048553" s="1" t="s">
        <v>3503</v>
      </c>
      <c r="B1048553" s="1" t="s">
        <v>3504</v>
      </c>
      <c r="C1048553" s="1" t="n">
        <v>200</v>
      </c>
      <c r="D1048553" s="1" t="s">
        <v>3505</v>
      </c>
      <c r="E1048553" s="1" t="s">
        <v>3176</v>
      </c>
      <c r="F1048553" s="1" t="s">
        <v>3589</v>
      </c>
      <c r="G1048553" s="1" t="s">
        <v>3582</v>
      </c>
    </row>
    <row r="1048554" customFormat="false" ht="12.8" hidden="false" customHeight="false" outlineLevel="0" collapsed="false">
      <c r="A1048554" s="1" t="s">
        <v>3503</v>
      </c>
      <c r="B1048554" s="1" t="s">
        <v>3504</v>
      </c>
      <c r="C1048554" s="1" t="n">
        <v>200</v>
      </c>
      <c r="D1048554" s="1" t="s">
        <v>3505</v>
      </c>
      <c r="E1048554" s="1" t="s">
        <v>3176</v>
      </c>
      <c r="F1048554" s="1" t="s">
        <v>3590</v>
      </c>
      <c r="G1048554" s="1" t="s">
        <v>3584</v>
      </c>
    </row>
    <row r="1048555" customFormat="false" ht="12.8" hidden="false" customHeight="false" outlineLevel="0" collapsed="false">
      <c r="A1048555" s="1" t="s">
        <v>3503</v>
      </c>
      <c r="B1048555" s="1" t="s">
        <v>3504</v>
      </c>
      <c r="C1048555" s="1" t="n">
        <v>200</v>
      </c>
      <c r="D1048555" s="1" t="s">
        <v>3505</v>
      </c>
      <c r="E1048555" s="1" t="s">
        <v>3176</v>
      </c>
      <c r="F1048555" s="1" t="s">
        <v>3591</v>
      </c>
      <c r="G1048555" s="1" t="s">
        <v>3592</v>
      </c>
    </row>
    <row r="1048556" customFormat="false" ht="12.8" hidden="false" customHeight="false" outlineLevel="0" collapsed="false">
      <c r="A1048556" s="1" t="s">
        <v>3503</v>
      </c>
      <c r="B1048556" s="1" t="s">
        <v>3504</v>
      </c>
      <c r="C1048556" s="1" t="n">
        <v>200</v>
      </c>
      <c r="D1048556" s="1" t="s">
        <v>3505</v>
      </c>
      <c r="E1048556" s="1" t="s">
        <v>3176</v>
      </c>
      <c r="F1048556" s="1" t="s">
        <v>3593</v>
      </c>
      <c r="G1048556" s="1" t="s">
        <v>3594</v>
      </c>
    </row>
    <row r="1048557" customFormat="false" ht="12.8" hidden="false" customHeight="false" outlineLevel="0" collapsed="false">
      <c r="A1048557" s="1" t="s">
        <v>3503</v>
      </c>
      <c r="B1048557" s="1" t="s">
        <v>3504</v>
      </c>
      <c r="C1048557" s="1" t="n">
        <v>200</v>
      </c>
      <c r="D1048557" s="1" t="s">
        <v>3505</v>
      </c>
      <c r="E1048557" s="1" t="s">
        <v>3176</v>
      </c>
      <c r="F1048557" s="1" t="s">
        <v>3595</v>
      </c>
      <c r="G1048557" s="1" t="s">
        <v>3596</v>
      </c>
    </row>
    <row r="1048558" customFormat="false" ht="12.8" hidden="false" customHeight="false" outlineLevel="0" collapsed="false">
      <c r="A1048558" s="1" t="s">
        <v>3503</v>
      </c>
      <c r="B1048558" s="1" t="s">
        <v>3504</v>
      </c>
      <c r="C1048558" s="1" t="n">
        <v>200</v>
      </c>
      <c r="D1048558" s="1" t="s">
        <v>3505</v>
      </c>
      <c r="E1048558" s="1" t="s">
        <v>3176</v>
      </c>
      <c r="F1048558" s="1" t="s">
        <v>3597</v>
      </c>
      <c r="G1048558" s="1" t="n">
        <v>5000</v>
      </c>
    </row>
    <row r="1048559" customFormat="false" ht="12.8" hidden="false" customHeight="false" outlineLevel="0" collapsed="false">
      <c r="A1048559" s="1" t="s">
        <v>3503</v>
      </c>
      <c r="B1048559" s="1" t="s">
        <v>3504</v>
      </c>
      <c r="C1048559" s="1" t="n">
        <v>200</v>
      </c>
      <c r="D1048559" s="1" t="s">
        <v>3505</v>
      </c>
      <c r="E1048559" s="1" t="s">
        <v>3176</v>
      </c>
      <c r="F1048559" s="1" t="s">
        <v>3598</v>
      </c>
      <c r="G1048559" s="1" t="s">
        <v>3599</v>
      </c>
    </row>
    <row r="1048560" customFormat="false" ht="12.8" hidden="false" customHeight="false" outlineLevel="0" collapsed="false">
      <c r="A1048560" s="1" t="s">
        <v>3503</v>
      </c>
      <c r="B1048560" s="1" t="s">
        <v>3504</v>
      </c>
      <c r="C1048560" s="1" t="n">
        <v>200</v>
      </c>
      <c r="D1048560" s="1" t="s">
        <v>3505</v>
      </c>
      <c r="E1048560" s="1" t="s">
        <v>3176</v>
      </c>
      <c r="F1048560" s="1" t="s">
        <v>3600</v>
      </c>
      <c r="G1048560" s="1" t="n">
        <v>64000</v>
      </c>
    </row>
    <row r="1048561" customFormat="false" ht="12.8" hidden="false" customHeight="false" outlineLevel="0" collapsed="false">
      <c r="A1048561" s="1" t="s">
        <v>3503</v>
      </c>
      <c r="B1048561" s="1" t="s">
        <v>3504</v>
      </c>
      <c r="C1048561" s="1" t="n">
        <v>200</v>
      </c>
      <c r="D1048561" s="1" t="s">
        <v>3505</v>
      </c>
      <c r="E1048561" s="1" t="s">
        <v>3176</v>
      </c>
      <c r="F1048561" s="1" t="s">
        <v>3601</v>
      </c>
      <c r="G1048561" s="1" t="s">
        <v>3602</v>
      </c>
    </row>
    <row r="1048562" customFormat="false" ht="12.8" hidden="false" customHeight="false" outlineLevel="0" collapsed="false">
      <c r="A1048562" s="1" t="s">
        <v>3503</v>
      </c>
      <c r="B1048562" s="1" t="s">
        <v>3504</v>
      </c>
      <c r="C1048562" s="1" t="n">
        <v>200</v>
      </c>
      <c r="D1048562" s="1" t="s">
        <v>3505</v>
      </c>
      <c r="E1048562" s="1" t="s">
        <v>3176</v>
      </c>
      <c r="F1048562" s="1" t="s">
        <v>3603</v>
      </c>
      <c r="G1048562" s="1" t="s">
        <v>3604</v>
      </c>
    </row>
    <row r="1048563" customFormat="false" ht="12.8" hidden="false" customHeight="false" outlineLevel="0" collapsed="false">
      <c r="A1048563" s="1" t="s">
        <v>3503</v>
      </c>
      <c r="B1048563" s="1" t="s">
        <v>3504</v>
      </c>
      <c r="C1048563" s="1" t="n">
        <v>200</v>
      </c>
      <c r="D1048563" s="1" t="s">
        <v>3505</v>
      </c>
      <c r="E1048563" s="1" t="s">
        <v>3176</v>
      </c>
      <c r="F1048563" s="1" t="s">
        <v>3605</v>
      </c>
      <c r="G1048563" s="1" t="n">
        <v>8080</v>
      </c>
    </row>
    <row r="1048564" customFormat="false" ht="12.8" hidden="false" customHeight="false" outlineLevel="0" collapsed="false">
      <c r="A1048564" s="1" t="s">
        <v>3503</v>
      </c>
      <c r="B1048564" s="1" t="s">
        <v>3504</v>
      </c>
      <c r="C1048564" s="1" t="n">
        <v>200</v>
      </c>
      <c r="D1048564" s="1" t="s">
        <v>3505</v>
      </c>
      <c r="E1048564" s="1" t="s">
        <v>3176</v>
      </c>
      <c r="F1048564" s="1" t="s">
        <v>3606</v>
      </c>
      <c r="G1048564" s="8" t="s">
        <v>3516</v>
      </c>
    </row>
    <row r="1048565" customFormat="false" ht="12.8" hidden="false" customHeight="false" outlineLevel="0" collapsed="false">
      <c r="A1048565" s="1" t="s">
        <v>3503</v>
      </c>
      <c r="B1048565" s="1" t="s">
        <v>3504</v>
      </c>
      <c r="C1048565" s="1" t="n">
        <v>200</v>
      </c>
      <c r="D1048565" s="1" t="s">
        <v>3505</v>
      </c>
      <c r="E1048565" s="1" t="s">
        <v>3176</v>
      </c>
      <c r="F1048565" s="1" t="s">
        <v>3607</v>
      </c>
      <c r="G1048565" s="1" t="n">
        <v>200</v>
      </c>
    </row>
    <row r="1048566" customFormat="false" ht="12.8" hidden="false" customHeight="false" outlineLevel="0" collapsed="false">
      <c r="A1048566" s="1" t="s">
        <v>3503</v>
      </c>
      <c r="B1048566" s="1" t="s">
        <v>3504</v>
      </c>
      <c r="C1048566" s="1" t="n">
        <v>200</v>
      </c>
      <c r="D1048566" s="1" t="s">
        <v>3505</v>
      </c>
      <c r="E1048566" s="1" t="s">
        <v>3176</v>
      </c>
      <c r="F1048566" s="1" t="s">
        <v>3608</v>
      </c>
      <c r="G1048566" s="1" t="n">
        <v>10</v>
      </c>
    </row>
    <row r="1048567" customFormat="false" ht="12.8" hidden="false" customHeight="false" outlineLevel="0" collapsed="false">
      <c r="A1048567" s="1" t="s">
        <v>3503</v>
      </c>
      <c r="B1048567" s="1" t="s">
        <v>3504</v>
      </c>
      <c r="C1048567" s="1" t="n">
        <v>200</v>
      </c>
      <c r="D1048567" s="1" t="s">
        <v>3505</v>
      </c>
      <c r="E1048567" s="1" t="s">
        <v>3176</v>
      </c>
      <c r="F1048567" s="1" t="s">
        <v>3609</v>
      </c>
      <c r="G1048567" s="1" t="n">
        <v>1</v>
      </c>
    </row>
    <row r="1048568" customFormat="false" ht="12.8" hidden="false" customHeight="false" outlineLevel="0" collapsed="false">
      <c r="A1048568" s="1" t="s">
        <v>3503</v>
      </c>
      <c r="B1048568" s="1" t="s">
        <v>3504</v>
      </c>
      <c r="C1048568" s="1" t="n">
        <v>200</v>
      </c>
      <c r="D1048568" s="1" t="s">
        <v>3505</v>
      </c>
      <c r="E1048568" s="1" t="s">
        <v>3176</v>
      </c>
      <c r="F1048568" s="1" t="s">
        <v>3212</v>
      </c>
      <c r="G1048568" s="1" t="s">
        <v>3610</v>
      </c>
    </row>
    <row r="1048569" customFormat="false" ht="12.8" hidden="false" customHeight="false" outlineLevel="0" collapsed="false">
      <c r="A1048569" s="1" t="s">
        <v>3503</v>
      </c>
      <c r="B1048569" s="1" t="s">
        <v>3504</v>
      </c>
      <c r="C1048569" s="1" t="n">
        <v>200</v>
      </c>
      <c r="D1048569" s="1" t="s">
        <v>3505</v>
      </c>
      <c r="E1048569" s="1" t="s">
        <v>3176</v>
      </c>
      <c r="F1048569" s="1" t="s">
        <v>3611</v>
      </c>
      <c r="G1048569" s="1" t="s">
        <v>3612</v>
      </c>
    </row>
    <row r="1048570" customFormat="false" ht="12.8" hidden="false" customHeight="false" outlineLevel="0" collapsed="false">
      <c r="A1048570" s="1" t="s">
        <v>3503</v>
      </c>
      <c r="B1048570" s="1" t="s">
        <v>3504</v>
      </c>
      <c r="C1048570" s="1" t="n">
        <v>200</v>
      </c>
      <c r="D1048570" s="1" t="s">
        <v>3505</v>
      </c>
      <c r="E1048570" s="1" t="s">
        <v>3176</v>
      </c>
      <c r="F1048570" s="1" t="s">
        <v>3613</v>
      </c>
      <c r="G1048570" s="1" t="s">
        <v>3614</v>
      </c>
    </row>
    <row r="1048571" customFormat="false" ht="12.8" hidden="false" customHeight="false" outlineLevel="0" collapsed="false">
      <c r="A1048571" s="1" t="s">
        <v>3503</v>
      </c>
      <c r="B1048571" s="1" t="s">
        <v>3504</v>
      </c>
      <c r="C1048571" s="1" t="n">
        <v>200</v>
      </c>
      <c r="D1048571" s="1" t="s">
        <v>3505</v>
      </c>
      <c r="E1048571" s="1" t="s">
        <v>3176</v>
      </c>
      <c r="F1048571" s="1" t="s">
        <v>3615</v>
      </c>
      <c r="G1048571" s="1" t="s">
        <v>3616</v>
      </c>
    </row>
    <row r="1048572" customFormat="false" ht="12.8" hidden="false" customHeight="false" outlineLevel="0" collapsed="false">
      <c r="A1048572" s="1" t="s">
        <v>3503</v>
      </c>
      <c r="B1048572" s="1" t="s">
        <v>3504</v>
      </c>
      <c r="C1048572" s="1" t="n">
        <v>200</v>
      </c>
      <c r="D1048572" s="1" t="s">
        <v>3505</v>
      </c>
      <c r="E1048572" s="1" t="s">
        <v>3176</v>
      </c>
      <c r="F1048572" s="1" t="s">
        <v>3379</v>
      </c>
      <c r="G1048572" s="1" t="s">
        <v>3617</v>
      </c>
    </row>
    <row r="1048573" customFormat="false" ht="12.8" hidden="false" customHeight="false" outlineLevel="0" collapsed="false">
      <c r="A1048573" s="1" t="s">
        <v>3503</v>
      </c>
      <c r="B1048573" s="1" t="s">
        <v>3504</v>
      </c>
      <c r="C1048573" s="1" t="n">
        <v>200</v>
      </c>
      <c r="D1048573" s="1" t="s">
        <v>3505</v>
      </c>
      <c r="E1048573" s="1" t="s">
        <v>3176</v>
      </c>
      <c r="F1048573" s="1" t="s">
        <v>3422</v>
      </c>
      <c r="G1048573" s="1" t="s">
        <v>3618</v>
      </c>
    </row>
    <row r="1048574" customFormat="false" ht="12.8" hidden="false" customHeight="false" outlineLevel="0" collapsed="false">
      <c r="A1048574" s="1" t="s">
        <v>3503</v>
      </c>
      <c r="B1048574" s="1" t="s">
        <v>3504</v>
      </c>
      <c r="C1048574" s="1" t="n">
        <v>200</v>
      </c>
      <c r="D1048574" s="1" t="s">
        <v>3505</v>
      </c>
      <c r="E1048574" s="1" t="s">
        <v>3176</v>
      </c>
      <c r="F1048574" s="1" t="s">
        <v>3619</v>
      </c>
      <c r="G1048574" s="1" t="s">
        <v>3620</v>
      </c>
    </row>
    <row r="1048575" customFormat="false" ht="12.8" hidden="false" customHeight="false" outlineLevel="0" collapsed="false">
      <c r="A1048575" s="1" t="s">
        <v>3503</v>
      </c>
      <c r="B1048575" s="1" t="s">
        <v>3504</v>
      </c>
      <c r="C1048575" s="1" t="n">
        <v>200</v>
      </c>
      <c r="D1048575" s="1" t="s">
        <v>3505</v>
      </c>
      <c r="E1048575" s="1" t="s">
        <v>3176</v>
      </c>
      <c r="F1048575" s="1" t="s">
        <v>3621</v>
      </c>
      <c r="G1048575" s="1" t="s">
        <v>3622</v>
      </c>
    </row>
    <row r="1048576" customFormat="false" ht="12.8" hidden="false" customHeight="false" outlineLevel="0" collapsed="false">
      <c r="A1048576" s="1" t="s">
        <v>3503</v>
      </c>
      <c r="B1048576" s="1" t="s">
        <v>3504</v>
      </c>
      <c r="C1048576" s="1" t="n">
        <v>200</v>
      </c>
      <c r="D1048576" s="1" t="s">
        <v>3505</v>
      </c>
      <c r="E1048576" s="1" t="s">
        <v>3176</v>
      </c>
      <c r="F1048576" s="1" t="s">
        <v>3623</v>
      </c>
      <c r="G1048576" s="1" t="s">
        <v>3624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44"/>
  <sheetViews>
    <sheetView showFormulas="false" showGridLines="true" showRowColHeaders="true" showZeros="true" rightToLeft="false" tabSelected="false" showOutlineSymbols="true" defaultGridColor="true" view="normal" topLeftCell="G1" colorId="64" zoomScale="110" zoomScaleNormal="110" zoomScalePageLayoutView="100" workbookViewId="0">
      <selection pane="topLeft" activeCell="G18" activeCellId="0" sqref="G18"/>
    </sheetView>
  </sheetViews>
  <sheetFormatPr defaultColWidth="11.53515625" defaultRowHeight="12.8" zeroHeight="false" outlineLevelRow="0" outlineLevelCol="0"/>
  <cols>
    <col collapsed="false" customWidth="true" hidden="false" outlineLevel="0" max="6" min="6" style="1" width="73.72"/>
    <col collapsed="false" customWidth="true" hidden="false" outlineLevel="0" max="7" min="7" style="1" width="296.22"/>
  </cols>
  <sheetData>
    <row r="1" customFormat="false" ht="12.8" hidden="false" customHeight="false" outlineLevel="0" collapsed="false">
      <c r="A1" s="2" t="s">
        <v>3154</v>
      </c>
      <c r="B1" s="2" t="s">
        <v>3155</v>
      </c>
      <c r="C1" s="2" t="s">
        <v>3156</v>
      </c>
      <c r="D1" s="2" t="s">
        <v>3149</v>
      </c>
      <c r="E1" s="2" t="s">
        <v>3157</v>
      </c>
      <c r="F1" s="2" t="s">
        <v>3158</v>
      </c>
      <c r="G1" s="2" t="s">
        <v>3159</v>
      </c>
    </row>
    <row r="2" customFormat="false" ht="12.8" hidden="false" customHeight="false" outlineLevel="0" collapsed="false">
      <c r="A2" s="1" t="s">
        <v>3674</v>
      </c>
      <c r="B2" s="1" t="s">
        <v>3675</v>
      </c>
      <c r="C2" s="1" t="n">
        <v>200</v>
      </c>
      <c r="D2" s="1" t="s">
        <v>3676</v>
      </c>
      <c r="E2" s="1" t="s">
        <v>3176</v>
      </c>
      <c r="F2" s="1" t="s">
        <v>3506</v>
      </c>
      <c r="G2" s="1" t="s">
        <v>3507</v>
      </c>
    </row>
    <row r="3" customFormat="false" ht="12.8" hidden="false" customHeight="false" outlineLevel="0" collapsed="false">
      <c r="A3" s="1" t="s">
        <v>3674</v>
      </c>
      <c r="B3" s="1" t="s">
        <v>3675</v>
      </c>
      <c r="C3" s="1" t="n">
        <v>200</v>
      </c>
      <c r="D3" s="1" t="s">
        <v>3676</v>
      </c>
      <c r="E3" s="1" t="s">
        <v>3176</v>
      </c>
      <c r="F3" s="1" t="s">
        <v>3508</v>
      </c>
      <c r="G3" s="1" t="s">
        <v>3509</v>
      </c>
    </row>
    <row r="4" customFormat="false" ht="12.8" hidden="false" customHeight="false" outlineLevel="0" collapsed="false">
      <c r="A4" s="1" t="s">
        <v>3674</v>
      </c>
      <c r="B4" s="1" t="s">
        <v>3675</v>
      </c>
      <c r="C4" s="1" t="n">
        <v>200</v>
      </c>
      <c r="D4" s="1" t="s">
        <v>3676</v>
      </c>
      <c r="E4" s="1" t="s">
        <v>3176</v>
      </c>
      <c r="F4" s="1" t="s">
        <v>3510</v>
      </c>
      <c r="G4" s="1" t="s">
        <v>3511</v>
      </c>
    </row>
    <row r="5" customFormat="false" ht="12.8" hidden="false" customHeight="false" outlineLevel="0" collapsed="false">
      <c r="A5" s="1" t="s">
        <v>3674</v>
      </c>
      <c r="B5" s="1" t="s">
        <v>3675</v>
      </c>
      <c r="C5" s="1" t="n">
        <v>200</v>
      </c>
      <c r="D5" s="1" t="s">
        <v>3676</v>
      </c>
      <c r="E5" s="1" t="s">
        <v>3176</v>
      </c>
      <c r="F5" s="1" t="s">
        <v>3512</v>
      </c>
      <c r="G5" s="1" t="s">
        <v>3511</v>
      </c>
    </row>
    <row r="6" customFormat="false" ht="12.8" hidden="false" customHeight="false" outlineLevel="0" collapsed="false">
      <c r="A6" s="1" t="s">
        <v>3674</v>
      </c>
      <c r="B6" s="1" t="s">
        <v>3675</v>
      </c>
      <c r="C6" s="1" t="n">
        <v>200</v>
      </c>
      <c r="D6" s="1" t="s">
        <v>3676</v>
      </c>
      <c r="E6" s="1" t="s">
        <v>3176</v>
      </c>
      <c r="F6" s="1" t="s">
        <v>3513</v>
      </c>
      <c r="G6" s="1" t="s">
        <v>3514</v>
      </c>
    </row>
    <row r="7" customFormat="false" ht="12.8" hidden="false" customHeight="false" outlineLevel="0" collapsed="false">
      <c r="A7" s="1" t="s">
        <v>3674</v>
      </c>
      <c r="B7" s="1" t="s">
        <v>3675</v>
      </c>
      <c r="C7" s="1" t="n">
        <v>200</v>
      </c>
      <c r="D7" s="1" t="s">
        <v>3676</v>
      </c>
      <c r="E7" s="1" t="s">
        <v>3176</v>
      </c>
      <c r="F7" s="1" t="s">
        <v>3515</v>
      </c>
      <c r="G7" s="8" t="s">
        <v>3516</v>
      </c>
    </row>
    <row r="8" customFormat="false" ht="12.8" hidden="false" customHeight="false" outlineLevel="0" collapsed="false">
      <c r="A8" s="1" t="s">
        <v>3674</v>
      </c>
      <c r="B8" s="1" t="s">
        <v>3675</v>
      </c>
      <c r="C8" s="1" t="n">
        <v>200</v>
      </c>
      <c r="D8" s="1" t="s">
        <v>3676</v>
      </c>
      <c r="E8" s="1" t="s">
        <v>3176</v>
      </c>
      <c r="F8" s="1" t="s">
        <v>3517</v>
      </c>
      <c r="G8" s="1" t="n">
        <v>8080</v>
      </c>
    </row>
    <row r="9" customFormat="false" ht="12.8" hidden="false" customHeight="false" outlineLevel="0" collapsed="false">
      <c r="A9" s="1" t="s">
        <v>3674</v>
      </c>
      <c r="B9" s="1" t="s">
        <v>3675</v>
      </c>
      <c r="C9" s="1" t="n">
        <v>200</v>
      </c>
      <c r="D9" s="1" t="s">
        <v>3676</v>
      </c>
      <c r="E9" s="1" t="s">
        <v>3176</v>
      </c>
      <c r="F9" s="1" t="s">
        <v>3518</v>
      </c>
      <c r="G9" s="1" t="s">
        <v>3519</v>
      </c>
    </row>
    <row r="10" customFormat="false" ht="12.8" hidden="false" customHeight="false" outlineLevel="0" collapsed="false">
      <c r="A10" s="1" t="s">
        <v>3674</v>
      </c>
      <c r="B10" s="1" t="s">
        <v>3675</v>
      </c>
      <c r="C10" s="1" t="n">
        <v>200</v>
      </c>
      <c r="D10" s="1" t="s">
        <v>3676</v>
      </c>
      <c r="E10" s="1" t="s">
        <v>3176</v>
      </c>
      <c r="F10" s="1" t="s">
        <v>3520</v>
      </c>
      <c r="G10" s="1" t="s">
        <v>3521</v>
      </c>
    </row>
    <row r="11" customFormat="false" ht="12.8" hidden="false" customHeight="false" outlineLevel="0" collapsed="false">
      <c r="A11" s="1" t="s">
        <v>3674</v>
      </c>
      <c r="B11" s="1" t="s">
        <v>3675</v>
      </c>
      <c r="C11" s="1" t="n">
        <v>200</v>
      </c>
      <c r="D11" s="1" t="s">
        <v>3676</v>
      </c>
      <c r="E11" s="1" t="s">
        <v>3176</v>
      </c>
      <c r="F11" s="1" t="s">
        <v>3522</v>
      </c>
      <c r="G11" s="1" t="n">
        <v>500000</v>
      </c>
    </row>
    <row r="12" customFormat="false" ht="12.8" hidden="false" customHeight="false" outlineLevel="0" collapsed="false">
      <c r="A12" s="1" t="s">
        <v>3674</v>
      </c>
      <c r="B12" s="1" t="s">
        <v>3675</v>
      </c>
      <c r="C12" s="1" t="n">
        <v>200</v>
      </c>
      <c r="D12" s="1" t="s">
        <v>3676</v>
      </c>
      <c r="E12" s="1" t="s">
        <v>3176</v>
      </c>
      <c r="F12" s="1" t="s">
        <v>3523</v>
      </c>
      <c r="G12" s="1" t="s">
        <v>3524</v>
      </c>
    </row>
    <row r="13" customFormat="false" ht="12.8" hidden="false" customHeight="false" outlineLevel="0" collapsed="false">
      <c r="A13" s="1" t="s">
        <v>3674</v>
      </c>
      <c r="B13" s="1" t="s">
        <v>3675</v>
      </c>
      <c r="C13" s="1" t="n">
        <v>200</v>
      </c>
      <c r="D13" s="1" t="s">
        <v>3676</v>
      </c>
      <c r="E13" s="1" t="s">
        <v>3176</v>
      </c>
      <c r="F13" s="1" t="s">
        <v>3525</v>
      </c>
      <c r="G13" s="1" t="s">
        <v>3526</v>
      </c>
    </row>
    <row r="14" customFormat="false" ht="12.8" hidden="false" customHeight="false" outlineLevel="0" collapsed="false">
      <c r="A14" s="1" t="s">
        <v>3674</v>
      </c>
      <c r="B14" s="1" t="s">
        <v>3675</v>
      </c>
      <c r="C14" s="1" t="n">
        <v>200</v>
      </c>
      <c r="D14" s="1" t="s">
        <v>3676</v>
      </c>
      <c r="E14" s="1" t="s">
        <v>3176</v>
      </c>
      <c r="F14" s="1" t="s">
        <v>3527</v>
      </c>
      <c r="G14" s="1" t="s">
        <v>3528</v>
      </c>
    </row>
    <row r="15" customFormat="false" ht="12.8" hidden="false" customHeight="false" outlineLevel="0" collapsed="false">
      <c r="A15" s="1" t="s">
        <v>3674</v>
      </c>
      <c r="B15" s="1" t="s">
        <v>3675</v>
      </c>
      <c r="C15" s="1" t="n">
        <v>200</v>
      </c>
      <c r="D15" s="1" t="s">
        <v>3676</v>
      </c>
      <c r="E15" s="1" t="s">
        <v>3176</v>
      </c>
      <c r="F15" s="1" t="s">
        <v>3529</v>
      </c>
      <c r="G15" s="1" t="s">
        <v>3530</v>
      </c>
    </row>
    <row r="16" customFormat="false" ht="12.8" hidden="false" customHeight="false" outlineLevel="0" collapsed="false">
      <c r="A16" s="1" t="s">
        <v>3674</v>
      </c>
      <c r="B16" s="1" t="s">
        <v>3675</v>
      </c>
      <c r="C16" s="1" t="n">
        <v>200</v>
      </c>
      <c r="D16" s="1" t="s">
        <v>3676</v>
      </c>
      <c r="E16" s="1" t="s">
        <v>3176</v>
      </c>
      <c r="F16" s="1" t="s">
        <v>3531</v>
      </c>
      <c r="G16" s="1" t="s">
        <v>3532</v>
      </c>
    </row>
    <row r="17" customFormat="false" ht="12.8" hidden="false" customHeight="false" outlineLevel="0" collapsed="false">
      <c r="A17" s="1" t="s">
        <v>3674</v>
      </c>
      <c r="B17" s="1" t="s">
        <v>3675</v>
      </c>
      <c r="C17" s="1" t="n">
        <v>200</v>
      </c>
      <c r="D17" s="1" t="s">
        <v>3676</v>
      </c>
      <c r="E17" s="1" t="s">
        <v>3176</v>
      </c>
      <c r="F17" s="1" t="s">
        <v>3533</v>
      </c>
      <c r="G17" s="1" t="s">
        <v>3534</v>
      </c>
    </row>
    <row r="18" customFormat="false" ht="12.8" hidden="false" customHeight="false" outlineLevel="0" collapsed="false">
      <c r="A18" s="1" t="s">
        <v>3674</v>
      </c>
      <c r="B18" s="1" t="s">
        <v>3675</v>
      </c>
      <c r="C18" s="1" t="n">
        <v>200</v>
      </c>
      <c r="D18" s="1" t="s">
        <v>3676</v>
      </c>
      <c r="E18" s="1" t="s">
        <v>3176</v>
      </c>
      <c r="F18" s="1" t="s">
        <v>3535</v>
      </c>
      <c r="G18" s="1" t="s">
        <v>3536</v>
      </c>
    </row>
    <row r="19" customFormat="false" ht="12.8" hidden="false" customHeight="false" outlineLevel="0" collapsed="false">
      <c r="A19" s="1" t="s">
        <v>3674</v>
      </c>
      <c r="B19" s="1" t="s">
        <v>3675</v>
      </c>
      <c r="C19" s="1" t="n">
        <v>200</v>
      </c>
      <c r="D19" s="1" t="s">
        <v>3676</v>
      </c>
      <c r="E19" s="1" t="s">
        <v>3176</v>
      </c>
      <c r="F19" s="1" t="s">
        <v>3537</v>
      </c>
      <c r="G19" s="1" t="s">
        <v>3538</v>
      </c>
    </row>
    <row r="20" customFormat="false" ht="12.8" hidden="false" customHeight="false" outlineLevel="0" collapsed="false">
      <c r="A20" s="1" t="s">
        <v>3674</v>
      </c>
      <c r="B20" s="1" t="s">
        <v>3675</v>
      </c>
      <c r="C20" s="1" t="n">
        <v>200</v>
      </c>
      <c r="D20" s="1" t="s">
        <v>3676</v>
      </c>
      <c r="E20" s="1" t="s">
        <v>3176</v>
      </c>
      <c r="F20" s="1" t="s">
        <v>3539</v>
      </c>
      <c r="G20" s="1" t="s">
        <v>3540</v>
      </c>
    </row>
    <row r="21" customFormat="false" ht="12.8" hidden="false" customHeight="false" outlineLevel="0" collapsed="false">
      <c r="A21" s="1" t="s">
        <v>3674</v>
      </c>
      <c r="B21" s="1" t="s">
        <v>3675</v>
      </c>
      <c r="C21" s="1" t="n">
        <v>200</v>
      </c>
      <c r="D21" s="1" t="s">
        <v>3676</v>
      </c>
      <c r="E21" s="1" t="s">
        <v>3176</v>
      </c>
      <c r="F21" s="1" t="s">
        <v>3541</v>
      </c>
      <c r="G21" s="1" t="s">
        <v>3542</v>
      </c>
    </row>
    <row r="22" customFormat="false" ht="12.8" hidden="false" customHeight="false" outlineLevel="0" collapsed="false">
      <c r="A22" s="1" t="s">
        <v>3674</v>
      </c>
      <c r="B22" s="1" t="s">
        <v>3675</v>
      </c>
      <c r="C22" s="1" t="n">
        <v>200</v>
      </c>
      <c r="D22" s="1" t="s">
        <v>3676</v>
      </c>
      <c r="E22" s="1" t="s">
        <v>3176</v>
      </c>
      <c r="F22" s="1" t="s">
        <v>3543</v>
      </c>
      <c r="G22" s="1" t="s">
        <v>3544</v>
      </c>
    </row>
    <row r="23" customFormat="false" ht="12.8" hidden="false" customHeight="false" outlineLevel="0" collapsed="false">
      <c r="A23" s="1" t="s">
        <v>3674</v>
      </c>
      <c r="B23" s="1" t="s">
        <v>3675</v>
      </c>
      <c r="C23" s="1" t="n">
        <v>200</v>
      </c>
      <c r="D23" s="1" t="s">
        <v>3676</v>
      </c>
      <c r="E23" s="1" t="s">
        <v>3176</v>
      </c>
      <c r="F23" s="1" t="s">
        <v>3545</v>
      </c>
      <c r="G23" s="1" t="s">
        <v>3546</v>
      </c>
    </row>
    <row r="24" customFormat="false" ht="12.8" hidden="false" customHeight="false" outlineLevel="0" collapsed="false">
      <c r="A24" s="1" t="s">
        <v>3674</v>
      </c>
      <c r="B24" s="1" t="s">
        <v>3675</v>
      </c>
      <c r="C24" s="1" t="n">
        <v>200</v>
      </c>
      <c r="D24" s="1" t="s">
        <v>3676</v>
      </c>
      <c r="E24" s="1" t="s">
        <v>3176</v>
      </c>
      <c r="F24" s="1" t="s">
        <v>3547</v>
      </c>
      <c r="G24" s="1" t="s">
        <v>3524</v>
      </c>
    </row>
    <row r="25" customFormat="false" ht="12.8" hidden="false" customHeight="false" outlineLevel="0" collapsed="false">
      <c r="A25" s="1" t="s">
        <v>3674</v>
      </c>
      <c r="B25" s="1" t="s">
        <v>3675</v>
      </c>
      <c r="C25" s="1" t="n">
        <v>200</v>
      </c>
      <c r="D25" s="1" t="s">
        <v>3676</v>
      </c>
      <c r="E25" s="1" t="s">
        <v>3176</v>
      </c>
      <c r="F25" s="1" t="s">
        <v>3548</v>
      </c>
      <c r="G25" s="1" t="s">
        <v>3526</v>
      </c>
    </row>
    <row r="26" customFormat="false" ht="12.8" hidden="false" customHeight="false" outlineLevel="0" collapsed="false">
      <c r="A26" s="1" t="s">
        <v>3674</v>
      </c>
      <c r="B26" s="1" t="s">
        <v>3675</v>
      </c>
      <c r="C26" s="1" t="n">
        <v>200</v>
      </c>
      <c r="D26" s="1" t="s">
        <v>3676</v>
      </c>
      <c r="E26" s="1" t="s">
        <v>3176</v>
      </c>
      <c r="F26" s="1" t="s">
        <v>3549</v>
      </c>
      <c r="G26" s="1" t="s">
        <v>3528</v>
      </c>
    </row>
    <row r="27" customFormat="false" ht="12.8" hidden="false" customHeight="false" outlineLevel="0" collapsed="false">
      <c r="A27" s="1" t="s">
        <v>3674</v>
      </c>
      <c r="B27" s="1" t="s">
        <v>3675</v>
      </c>
      <c r="C27" s="1" t="n">
        <v>200</v>
      </c>
      <c r="D27" s="1" t="s">
        <v>3676</v>
      </c>
      <c r="E27" s="1" t="s">
        <v>3176</v>
      </c>
      <c r="F27" s="1" t="s">
        <v>3550</v>
      </c>
      <c r="G27" s="1" t="s">
        <v>3530</v>
      </c>
    </row>
    <row r="28" customFormat="false" ht="12.8" hidden="false" customHeight="false" outlineLevel="0" collapsed="false">
      <c r="A28" s="1" t="s">
        <v>3674</v>
      </c>
      <c r="B28" s="1" t="s">
        <v>3675</v>
      </c>
      <c r="C28" s="1" t="n">
        <v>200</v>
      </c>
      <c r="D28" s="1" t="s">
        <v>3676</v>
      </c>
      <c r="E28" s="1" t="s">
        <v>3176</v>
      </c>
      <c r="F28" s="1" t="s">
        <v>3551</v>
      </c>
      <c r="G28" s="1" t="s">
        <v>3536</v>
      </c>
    </row>
    <row r="29" customFormat="false" ht="12.8" hidden="false" customHeight="false" outlineLevel="0" collapsed="false">
      <c r="A29" s="1" t="s">
        <v>3674</v>
      </c>
      <c r="B29" s="1" t="s">
        <v>3675</v>
      </c>
      <c r="C29" s="1" t="n">
        <v>200</v>
      </c>
      <c r="D29" s="1" t="s">
        <v>3676</v>
      </c>
      <c r="E29" s="1" t="s">
        <v>3176</v>
      </c>
      <c r="F29" s="1" t="s">
        <v>3552</v>
      </c>
      <c r="G29" s="1" t="s">
        <v>3538</v>
      </c>
    </row>
    <row r="30" customFormat="false" ht="12.8" hidden="false" customHeight="false" outlineLevel="0" collapsed="false">
      <c r="A30" s="1" t="s">
        <v>3674</v>
      </c>
      <c r="B30" s="1" t="s">
        <v>3675</v>
      </c>
      <c r="C30" s="1" t="n">
        <v>200</v>
      </c>
      <c r="D30" s="1" t="s">
        <v>3676</v>
      </c>
      <c r="E30" s="1" t="s">
        <v>3176</v>
      </c>
      <c r="F30" s="1" t="s">
        <v>3553</v>
      </c>
      <c r="G30" s="1" t="s">
        <v>3540</v>
      </c>
    </row>
    <row r="31" customFormat="false" ht="12.8" hidden="false" customHeight="false" outlineLevel="0" collapsed="false">
      <c r="A31" s="1" t="s">
        <v>3674</v>
      </c>
      <c r="B31" s="1" t="s">
        <v>3675</v>
      </c>
      <c r="C31" s="1" t="n">
        <v>200</v>
      </c>
      <c r="D31" s="1" t="s">
        <v>3676</v>
      </c>
      <c r="E31" s="1" t="s">
        <v>3176</v>
      </c>
      <c r="F31" s="1" t="s">
        <v>3554</v>
      </c>
      <c r="G31" s="1" t="s">
        <v>3542</v>
      </c>
    </row>
    <row r="32" customFormat="false" ht="12.8" hidden="false" customHeight="false" outlineLevel="0" collapsed="false">
      <c r="A32" s="1" t="s">
        <v>3674</v>
      </c>
      <c r="B32" s="1" t="s">
        <v>3675</v>
      </c>
      <c r="C32" s="1" t="n">
        <v>200</v>
      </c>
      <c r="D32" s="1" t="s">
        <v>3676</v>
      </c>
      <c r="E32" s="1" t="s">
        <v>3176</v>
      </c>
      <c r="F32" s="1" t="s">
        <v>3555</v>
      </c>
      <c r="G32" s="1" t="s">
        <v>3544</v>
      </c>
    </row>
    <row r="33" customFormat="false" ht="12.8" hidden="false" customHeight="false" outlineLevel="0" collapsed="false">
      <c r="A33" s="1" t="s">
        <v>3674</v>
      </c>
      <c r="B33" s="1" t="s">
        <v>3675</v>
      </c>
      <c r="C33" s="1" t="n">
        <v>200</v>
      </c>
      <c r="D33" s="1" t="s">
        <v>3676</v>
      </c>
      <c r="E33" s="1" t="s">
        <v>3176</v>
      </c>
      <c r="F33" s="1" t="s">
        <v>3556</v>
      </c>
      <c r="G33" s="1" t="s">
        <v>3546</v>
      </c>
    </row>
    <row r="34" customFormat="false" ht="12.8" hidden="false" customHeight="false" outlineLevel="0" collapsed="false">
      <c r="A34" s="1" t="s">
        <v>3674</v>
      </c>
      <c r="B34" s="1" t="s">
        <v>3675</v>
      </c>
      <c r="C34" s="1" t="n">
        <v>200</v>
      </c>
      <c r="D34" s="1" t="s">
        <v>3676</v>
      </c>
      <c r="E34" s="1" t="s">
        <v>3176</v>
      </c>
      <c r="F34" s="1" t="s">
        <v>3566</v>
      </c>
      <c r="G34" s="8" t="s">
        <v>3516</v>
      </c>
    </row>
    <row r="35" customFormat="false" ht="12.8" hidden="false" customHeight="false" outlineLevel="0" collapsed="false">
      <c r="A35" s="1" t="s">
        <v>3674</v>
      </c>
      <c r="B35" s="1" t="s">
        <v>3675</v>
      </c>
      <c r="C35" s="1" t="n">
        <v>200</v>
      </c>
      <c r="D35" s="1" t="s">
        <v>3676</v>
      </c>
      <c r="E35" s="1" t="s">
        <v>3176</v>
      </c>
      <c r="F35" s="1" t="s">
        <v>3567</v>
      </c>
      <c r="G35" s="1" t="s">
        <v>3568</v>
      </c>
    </row>
    <row r="36" customFormat="false" ht="12.8" hidden="false" customHeight="false" outlineLevel="0" collapsed="false">
      <c r="A36" s="1" t="s">
        <v>3674</v>
      </c>
      <c r="B36" s="1" t="s">
        <v>3675</v>
      </c>
      <c r="C36" s="1" t="n">
        <v>200</v>
      </c>
      <c r="D36" s="1" t="s">
        <v>3676</v>
      </c>
      <c r="E36" s="1" t="s">
        <v>3176</v>
      </c>
      <c r="F36" s="1" t="s">
        <v>3569</v>
      </c>
      <c r="G36" s="1" t="s">
        <v>3570</v>
      </c>
    </row>
    <row r="37" customFormat="false" ht="12.8" hidden="false" customHeight="false" outlineLevel="0" collapsed="false">
      <c r="A37" s="1" t="s">
        <v>3674</v>
      </c>
      <c r="B37" s="1" t="s">
        <v>3675</v>
      </c>
      <c r="C37" s="1" t="n">
        <v>200</v>
      </c>
      <c r="D37" s="1" t="s">
        <v>3676</v>
      </c>
      <c r="E37" s="1" t="s">
        <v>3176</v>
      </c>
      <c r="F37" s="1" t="s">
        <v>3571</v>
      </c>
      <c r="G37" s="1" t="s">
        <v>3572</v>
      </c>
    </row>
    <row r="38" customFormat="false" ht="12.8" hidden="false" customHeight="false" outlineLevel="0" collapsed="false">
      <c r="A38" s="1" t="s">
        <v>3674</v>
      </c>
      <c r="B38" s="1" t="s">
        <v>3675</v>
      </c>
      <c r="C38" s="1" t="n">
        <v>200</v>
      </c>
      <c r="D38" s="1" t="s">
        <v>3676</v>
      </c>
      <c r="E38" s="1" t="s">
        <v>3176</v>
      </c>
      <c r="F38" s="1" t="s">
        <v>3573</v>
      </c>
      <c r="G38" s="8" t="s">
        <v>3516</v>
      </c>
    </row>
    <row r="39" customFormat="false" ht="12.8" hidden="false" customHeight="false" outlineLevel="0" collapsed="false">
      <c r="A39" s="1" t="s">
        <v>3674</v>
      </c>
      <c r="B39" s="1" t="s">
        <v>3675</v>
      </c>
      <c r="C39" s="1" t="n">
        <v>200</v>
      </c>
      <c r="D39" s="1" t="s">
        <v>3676</v>
      </c>
      <c r="E39" s="1" t="s">
        <v>3176</v>
      </c>
      <c r="F39" s="1" t="s">
        <v>3574</v>
      </c>
      <c r="G39" s="1" t="s">
        <v>3575</v>
      </c>
    </row>
    <row r="40" customFormat="false" ht="12.8" hidden="false" customHeight="false" outlineLevel="0" collapsed="false">
      <c r="A40" s="1" t="s">
        <v>3674</v>
      </c>
      <c r="B40" s="1" t="s">
        <v>3675</v>
      </c>
      <c r="C40" s="1" t="n">
        <v>200</v>
      </c>
      <c r="D40" s="1" t="s">
        <v>3676</v>
      </c>
      <c r="E40" s="1" t="s">
        <v>3176</v>
      </c>
      <c r="F40" s="1" t="s">
        <v>3576</v>
      </c>
      <c r="G40" s="8" t="s">
        <v>3516</v>
      </c>
    </row>
    <row r="41" customFormat="false" ht="12.8" hidden="false" customHeight="false" outlineLevel="0" collapsed="false">
      <c r="A41" s="1" t="s">
        <v>3674</v>
      </c>
      <c r="B41" s="1" t="s">
        <v>3675</v>
      </c>
      <c r="C41" s="1" t="n">
        <v>200</v>
      </c>
      <c r="D41" s="1" t="s">
        <v>3676</v>
      </c>
      <c r="E41" s="1" t="s">
        <v>3176</v>
      </c>
      <c r="F41" s="1" t="s">
        <v>3577</v>
      </c>
      <c r="G41" s="8" t="s">
        <v>3516</v>
      </c>
    </row>
    <row r="42" customFormat="false" ht="12.8" hidden="false" customHeight="false" outlineLevel="0" collapsed="false">
      <c r="A42" s="1" t="s">
        <v>3674</v>
      </c>
      <c r="B42" s="1" t="s">
        <v>3675</v>
      </c>
      <c r="C42" s="1" t="n">
        <v>200</v>
      </c>
      <c r="D42" s="1" t="s">
        <v>3676</v>
      </c>
      <c r="E42" s="1" t="s">
        <v>3176</v>
      </c>
      <c r="F42" s="1" t="s">
        <v>3318</v>
      </c>
      <c r="G42" s="1" t="s">
        <v>3578</v>
      </c>
    </row>
    <row r="43" customFormat="false" ht="12.8" hidden="false" customHeight="false" outlineLevel="0" collapsed="false">
      <c r="A43" s="1" t="s">
        <v>3674</v>
      </c>
      <c r="B43" s="1" t="s">
        <v>3675</v>
      </c>
      <c r="C43" s="1" t="n">
        <v>200</v>
      </c>
      <c r="D43" s="1" t="s">
        <v>3676</v>
      </c>
      <c r="E43" s="1" t="s">
        <v>3176</v>
      </c>
      <c r="F43" s="1" t="s">
        <v>3436</v>
      </c>
      <c r="G43" s="1" t="s">
        <v>3244</v>
      </c>
    </row>
    <row r="44" customFormat="false" ht="12.8" hidden="false" customHeight="false" outlineLevel="0" collapsed="false">
      <c r="A44" s="1" t="s">
        <v>3674</v>
      </c>
      <c r="B44" s="1" t="s">
        <v>3675</v>
      </c>
      <c r="C44" s="1" t="n">
        <v>200</v>
      </c>
      <c r="D44" s="1" t="s">
        <v>3676</v>
      </c>
      <c r="E44" s="1" t="s">
        <v>3176</v>
      </c>
      <c r="F44" s="1" t="s">
        <v>3579</v>
      </c>
      <c r="G44" s="1" t="s">
        <v>3580</v>
      </c>
    </row>
    <row r="45" customFormat="false" ht="12.8" hidden="false" customHeight="false" outlineLevel="0" collapsed="false">
      <c r="A45" s="1" t="s">
        <v>3674</v>
      </c>
      <c r="B45" s="1" t="s">
        <v>3675</v>
      </c>
      <c r="C45" s="1" t="n">
        <v>200</v>
      </c>
      <c r="D45" s="1" t="s">
        <v>3676</v>
      </c>
      <c r="E45" s="1" t="s">
        <v>3176</v>
      </c>
      <c r="F45" s="1" t="s">
        <v>3591</v>
      </c>
      <c r="G45" s="1" t="s">
        <v>3592</v>
      </c>
    </row>
    <row r="46" customFormat="false" ht="12.8" hidden="false" customHeight="false" outlineLevel="0" collapsed="false">
      <c r="A46" s="1" t="s">
        <v>3674</v>
      </c>
      <c r="B46" s="1" t="s">
        <v>3675</v>
      </c>
      <c r="C46" s="1" t="n">
        <v>200</v>
      </c>
      <c r="D46" s="1" t="s">
        <v>3676</v>
      </c>
      <c r="E46" s="1" t="s">
        <v>3176</v>
      </c>
      <c r="F46" s="1" t="s">
        <v>3593</v>
      </c>
      <c r="G46" s="1" t="s">
        <v>3594</v>
      </c>
    </row>
    <row r="47" customFormat="false" ht="12.8" hidden="false" customHeight="false" outlineLevel="0" collapsed="false">
      <c r="A47" s="1" t="s">
        <v>3674</v>
      </c>
      <c r="B47" s="1" t="s">
        <v>3675</v>
      </c>
      <c r="C47" s="1" t="n">
        <v>200</v>
      </c>
      <c r="D47" s="1" t="s">
        <v>3676</v>
      </c>
      <c r="E47" s="1" t="s">
        <v>3176</v>
      </c>
      <c r="F47" s="1" t="s">
        <v>3595</v>
      </c>
      <c r="G47" s="1" t="s">
        <v>3596</v>
      </c>
    </row>
    <row r="48" customFormat="false" ht="12.8" hidden="false" customHeight="false" outlineLevel="0" collapsed="false">
      <c r="A48" s="1" t="s">
        <v>3674</v>
      </c>
      <c r="B48" s="1" t="s">
        <v>3675</v>
      </c>
      <c r="C48" s="1" t="n">
        <v>200</v>
      </c>
      <c r="D48" s="1" t="s">
        <v>3676</v>
      </c>
      <c r="E48" s="1" t="s">
        <v>3176</v>
      </c>
      <c r="F48" s="1" t="s">
        <v>3597</v>
      </c>
      <c r="G48" s="1" t="n">
        <v>5000</v>
      </c>
    </row>
    <row r="49" customFormat="false" ht="12.8" hidden="false" customHeight="false" outlineLevel="0" collapsed="false">
      <c r="A49" s="1" t="s">
        <v>3674</v>
      </c>
      <c r="B49" s="1" t="s">
        <v>3675</v>
      </c>
      <c r="C49" s="1" t="n">
        <v>200</v>
      </c>
      <c r="D49" s="1" t="s">
        <v>3676</v>
      </c>
      <c r="E49" s="1" t="s">
        <v>3176</v>
      </c>
      <c r="F49" s="1" t="s">
        <v>3598</v>
      </c>
      <c r="G49" s="1" t="s">
        <v>3599</v>
      </c>
    </row>
    <row r="50" customFormat="false" ht="12.8" hidden="false" customHeight="false" outlineLevel="0" collapsed="false">
      <c r="A50" s="1" t="s">
        <v>3674</v>
      </c>
      <c r="B50" s="1" t="s">
        <v>3675</v>
      </c>
      <c r="C50" s="1" t="n">
        <v>200</v>
      </c>
      <c r="D50" s="1" t="s">
        <v>3676</v>
      </c>
      <c r="E50" s="1" t="s">
        <v>3176</v>
      </c>
      <c r="F50" s="1" t="s">
        <v>3600</v>
      </c>
      <c r="G50" s="1" t="n">
        <v>64000</v>
      </c>
    </row>
    <row r="51" customFormat="false" ht="12.8" hidden="false" customHeight="false" outlineLevel="0" collapsed="false">
      <c r="A51" s="1" t="s">
        <v>3674</v>
      </c>
      <c r="B51" s="1" t="s">
        <v>3675</v>
      </c>
      <c r="C51" s="1" t="n">
        <v>200</v>
      </c>
      <c r="D51" s="1" t="s">
        <v>3676</v>
      </c>
      <c r="E51" s="1" t="s">
        <v>3176</v>
      </c>
      <c r="F51" s="1" t="s">
        <v>3601</v>
      </c>
      <c r="G51" s="1" t="s">
        <v>3602</v>
      </c>
    </row>
    <row r="52" customFormat="false" ht="12.8" hidden="false" customHeight="false" outlineLevel="0" collapsed="false">
      <c r="A52" s="1" t="s">
        <v>3674</v>
      </c>
      <c r="B52" s="1" t="s">
        <v>3675</v>
      </c>
      <c r="C52" s="1" t="n">
        <v>200</v>
      </c>
      <c r="D52" s="1" t="s">
        <v>3676</v>
      </c>
      <c r="E52" s="1" t="s">
        <v>3176</v>
      </c>
      <c r="F52" s="1" t="s">
        <v>3603</v>
      </c>
      <c r="G52" s="1" t="s">
        <v>3604</v>
      </c>
    </row>
    <row r="53" customFormat="false" ht="12.8" hidden="false" customHeight="false" outlineLevel="0" collapsed="false">
      <c r="A53" s="1" t="s">
        <v>3674</v>
      </c>
      <c r="B53" s="1" t="s">
        <v>3675</v>
      </c>
      <c r="C53" s="1" t="n">
        <v>200</v>
      </c>
      <c r="D53" s="1" t="s">
        <v>3676</v>
      </c>
      <c r="E53" s="1" t="s">
        <v>3176</v>
      </c>
      <c r="F53" s="1" t="s">
        <v>3605</v>
      </c>
      <c r="G53" s="1" t="n">
        <v>8080</v>
      </c>
    </row>
    <row r="54" customFormat="false" ht="12.8" hidden="false" customHeight="false" outlineLevel="0" collapsed="false">
      <c r="A54" s="1" t="s">
        <v>3674</v>
      </c>
      <c r="B54" s="1" t="s">
        <v>3675</v>
      </c>
      <c r="C54" s="1" t="n">
        <v>200</v>
      </c>
      <c r="D54" s="1" t="s">
        <v>3676</v>
      </c>
      <c r="E54" s="1" t="s">
        <v>3176</v>
      </c>
      <c r="F54" s="1" t="s">
        <v>3606</v>
      </c>
      <c r="G54" s="8" t="s">
        <v>3516</v>
      </c>
    </row>
    <row r="55" customFormat="false" ht="12.8" hidden="false" customHeight="false" outlineLevel="0" collapsed="false">
      <c r="A55" s="1" t="s">
        <v>3674</v>
      </c>
      <c r="B55" s="1" t="s">
        <v>3675</v>
      </c>
      <c r="C55" s="1" t="n">
        <v>200</v>
      </c>
      <c r="D55" s="1" t="s">
        <v>3676</v>
      </c>
      <c r="E55" s="1" t="s">
        <v>3176</v>
      </c>
      <c r="F55" s="1" t="s">
        <v>3607</v>
      </c>
      <c r="G55" s="1" t="n">
        <v>200</v>
      </c>
    </row>
    <row r="56" customFormat="false" ht="12.8" hidden="false" customHeight="false" outlineLevel="0" collapsed="false">
      <c r="A56" s="1" t="s">
        <v>3674</v>
      </c>
      <c r="B56" s="1" t="s">
        <v>3675</v>
      </c>
      <c r="C56" s="1" t="n">
        <v>200</v>
      </c>
      <c r="D56" s="1" t="s">
        <v>3676</v>
      </c>
      <c r="E56" s="1" t="s">
        <v>3176</v>
      </c>
      <c r="F56" s="1" t="s">
        <v>3608</v>
      </c>
      <c r="G56" s="1" t="n">
        <v>10</v>
      </c>
    </row>
    <row r="57" customFormat="false" ht="12.8" hidden="false" customHeight="false" outlineLevel="0" collapsed="false">
      <c r="A57" s="1" t="s">
        <v>3674</v>
      </c>
      <c r="B57" s="1" t="s">
        <v>3675</v>
      </c>
      <c r="C57" s="1" t="n">
        <v>200</v>
      </c>
      <c r="D57" s="1" t="s">
        <v>3676</v>
      </c>
      <c r="E57" s="1" t="s">
        <v>3176</v>
      </c>
      <c r="F57" s="1" t="s">
        <v>3609</v>
      </c>
      <c r="G57" s="1" t="n">
        <v>1</v>
      </c>
    </row>
    <row r="58" customFormat="false" ht="12.8" hidden="false" customHeight="false" outlineLevel="0" collapsed="false">
      <c r="A58" s="1" t="s">
        <v>3674</v>
      </c>
      <c r="B58" s="1" t="s">
        <v>3675</v>
      </c>
      <c r="C58" s="1" t="n">
        <v>200</v>
      </c>
      <c r="D58" s="1" t="s">
        <v>3676</v>
      </c>
      <c r="E58" s="1" t="s">
        <v>3176</v>
      </c>
      <c r="F58" s="1" t="s">
        <v>3631</v>
      </c>
      <c r="G58" s="1" t="s">
        <v>3254</v>
      </c>
    </row>
    <row r="59" customFormat="false" ht="12.8" hidden="false" customHeight="false" outlineLevel="0" collapsed="false">
      <c r="A59" s="1" t="s">
        <v>3674</v>
      </c>
      <c r="B59" s="1" t="s">
        <v>3675</v>
      </c>
      <c r="C59" s="1" t="n">
        <v>200</v>
      </c>
      <c r="D59" s="1" t="s">
        <v>3676</v>
      </c>
      <c r="E59" s="1" t="s">
        <v>3176</v>
      </c>
      <c r="F59" s="1" t="s">
        <v>3632</v>
      </c>
      <c r="G59" s="1" t="s">
        <v>3633</v>
      </c>
    </row>
    <row r="60" customFormat="false" ht="12.8" hidden="false" customHeight="false" outlineLevel="0" collapsed="false">
      <c r="A60" s="1" t="s">
        <v>3674</v>
      </c>
      <c r="B60" s="1" t="s">
        <v>3675</v>
      </c>
      <c r="C60" s="1" t="n">
        <v>200</v>
      </c>
      <c r="D60" s="1" t="s">
        <v>3676</v>
      </c>
      <c r="E60" s="1" t="s">
        <v>3176</v>
      </c>
      <c r="F60" s="1" t="s">
        <v>3634</v>
      </c>
      <c r="G60" s="1" t="s">
        <v>3635</v>
      </c>
    </row>
    <row r="61" customFormat="false" ht="12.8" hidden="false" customHeight="false" outlineLevel="0" collapsed="false">
      <c r="A61" s="1" t="s">
        <v>3674</v>
      </c>
      <c r="B61" s="1" t="s">
        <v>3675</v>
      </c>
      <c r="C61" s="1" t="n">
        <v>200</v>
      </c>
      <c r="D61" s="1" t="s">
        <v>3676</v>
      </c>
      <c r="E61" s="1" t="s">
        <v>3176</v>
      </c>
      <c r="F61" s="1" t="s">
        <v>3636</v>
      </c>
      <c r="G61" s="1" t="s">
        <v>3637</v>
      </c>
    </row>
    <row r="62" customFormat="false" ht="12.8" hidden="false" customHeight="false" outlineLevel="0" collapsed="false">
      <c r="A62" s="1" t="s">
        <v>3674</v>
      </c>
      <c r="B62" s="1" t="s">
        <v>3675</v>
      </c>
      <c r="C62" s="1" t="n">
        <v>200</v>
      </c>
      <c r="D62" s="1" t="s">
        <v>3676</v>
      </c>
      <c r="E62" s="1" t="s">
        <v>3176</v>
      </c>
      <c r="F62" s="1" t="s">
        <v>3638</v>
      </c>
      <c r="G62" s="1" t="s">
        <v>3639</v>
      </c>
    </row>
    <row r="63" customFormat="false" ht="12.8" hidden="false" customHeight="false" outlineLevel="0" collapsed="false">
      <c r="A63" s="1" t="s">
        <v>3674</v>
      </c>
      <c r="B63" s="1" t="s">
        <v>3675</v>
      </c>
      <c r="C63" s="1" t="n">
        <v>200</v>
      </c>
      <c r="D63" s="1" t="s">
        <v>3676</v>
      </c>
      <c r="E63" s="1" t="s">
        <v>3176</v>
      </c>
      <c r="F63" s="1" t="s">
        <v>3640</v>
      </c>
      <c r="G63" s="1" t="s">
        <v>3641</v>
      </c>
    </row>
    <row r="64" customFormat="false" ht="12.8" hidden="false" customHeight="false" outlineLevel="0" collapsed="false">
      <c r="A64" s="1" t="s">
        <v>3674</v>
      </c>
      <c r="B64" s="1" t="s">
        <v>3675</v>
      </c>
      <c r="C64" s="1" t="n">
        <v>200</v>
      </c>
      <c r="D64" s="1" t="s">
        <v>3676</v>
      </c>
      <c r="E64" s="1" t="s">
        <v>3176</v>
      </c>
      <c r="F64" s="1" t="s">
        <v>3326</v>
      </c>
      <c r="G64" s="1" t="s">
        <v>3254</v>
      </c>
    </row>
    <row r="65" customFormat="false" ht="12.8" hidden="false" customHeight="false" outlineLevel="0" collapsed="false">
      <c r="A65" s="1" t="s">
        <v>3674</v>
      </c>
      <c r="B65" s="1" t="s">
        <v>3675</v>
      </c>
      <c r="C65" s="1" t="n">
        <v>200</v>
      </c>
      <c r="D65" s="1" t="s">
        <v>3676</v>
      </c>
      <c r="E65" s="1" t="s">
        <v>3176</v>
      </c>
      <c r="F65" s="1" t="s">
        <v>3642</v>
      </c>
      <c r="G65" s="1" t="s">
        <v>3643</v>
      </c>
    </row>
    <row r="66" customFormat="false" ht="12.8" hidden="false" customHeight="false" outlineLevel="0" collapsed="false">
      <c r="A66" s="1" t="s">
        <v>3674</v>
      </c>
      <c r="B66" s="1" t="s">
        <v>3675</v>
      </c>
      <c r="C66" s="1" t="n">
        <v>200</v>
      </c>
      <c r="D66" s="1" t="s">
        <v>3676</v>
      </c>
      <c r="E66" s="1" t="s">
        <v>3176</v>
      </c>
      <c r="F66" s="1" t="s">
        <v>3644</v>
      </c>
      <c r="G66" s="1" t="s">
        <v>3645</v>
      </c>
    </row>
    <row r="67" customFormat="false" ht="12.8" hidden="false" customHeight="false" outlineLevel="0" collapsed="false">
      <c r="A67" s="1" t="s">
        <v>3674</v>
      </c>
      <c r="B67" s="1" t="s">
        <v>3675</v>
      </c>
      <c r="C67" s="1" t="n">
        <v>200</v>
      </c>
      <c r="D67" s="1" t="s">
        <v>3676</v>
      </c>
      <c r="E67" s="1" t="s">
        <v>3176</v>
      </c>
      <c r="F67" s="1" t="s">
        <v>3646</v>
      </c>
      <c r="G67" s="1" t="s">
        <v>3677</v>
      </c>
    </row>
    <row r="68" customFormat="false" ht="12.8" hidden="false" customHeight="false" outlineLevel="0" collapsed="false">
      <c r="A68" s="1" t="s">
        <v>3674</v>
      </c>
      <c r="B68" s="1" t="s">
        <v>3675</v>
      </c>
      <c r="C68" s="1" t="n">
        <v>200</v>
      </c>
      <c r="D68" s="1" t="s">
        <v>3676</v>
      </c>
      <c r="E68" s="1" t="s">
        <v>3176</v>
      </c>
      <c r="F68" s="1" t="s">
        <v>3648</v>
      </c>
      <c r="G68" s="1" t="s">
        <v>3594</v>
      </c>
    </row>
    <row r="69" customFormat="false" ht="12.8" hidden="false" customHeight="false" outlineLevel="0" collapsed="false">
      <c r="A69" s="1" t="s">
        <v>3674</v>
      </c>
      <c r="B69" s="1" t="s">
        <v>3675</v>
      </c>
      <c r="C69" s="1" t="n">
        <v>200</v>
      </c>
      <c r="D69" s="1" t="s">
        <v>3676</v>
      </c>
      <c r="E69" s="1" t="s">
        <v>3176</v>
      </c>
      <c r="F69" s="1" t="s">
        <v>3649</v>
      </c>
      <c r="G69" s="1" t="s">
        <v>3650</v>
      </c>
    </row>
    <row r="70" customFormat="false" ht="12.8" hidden="false" customHeight="false" outlineLevel="0" collapsed="false">
      <c r="A70" s="1" t="s">
        <v>3674</v>
      </c>
      <c r="B70" s="1" t="s">
        <v>3675</v>
      </c>
      <c r="C70" s="1" t="n">
        <v>200</v>
      </c>
      <c r="D70" s="1" t="s">
        <v>3676</v>
      </c>
      <c r="E70" s="1" t="s">
        <v>3176</v>
      </c>
      <c r="F70" s="1" t="s">
        <v>3651</v>
      </c>
      <c r="G70" s="1" t="n">
        <v>100</v>
      </c>
    </row>
    <row r="71" customFormat="false" ht="12.8" hidden="false" customHeight="false" outlineLevel="0" collapsed="false">
      <c r="A71" s="1" t="s">
        <v>3674</v>
      </c>
      <c r="B71" s="1" t="s">
        <v>3675</v>
      </c>
      <c r="C71" s="1" t="n">
        <v>200</v>
      </c>
      <c r="D71" s="1" t="s">
        <v>3676</v>
      </c>
      <c r="E71" s="1" t="s">
        <v>3176</v>
      </c>
      <c r="F71" s="1" t="s">
        <v>3652</v>
      </c>
      <c r="G71" s="1" t="n">
        <v>100</v>
      </c>
    </row>
    <row r="72" customFormat="false" ht="12.8" hidden="false" customHeight="false" outlineLevel="0" collapsed="false">
      <c r="A72" s="1" t="s">
        <v>3674</v>
      </c>
      <c r="B72" s="1" t="s">
        <v>3675</v>
      </c>
      <c r="C72" s="1" t="n">
        <v>200</v>
      </c>
      <c r="D72" s="1" t="s">
        <v>3676</v>
      </c>
      <c r="E72" s="1" t="s">
        <v>3176</v>
      </c>
      <c r="F72" s="1" t="s">
        <v>3653</v>
      </c>
      <c r="G72" s="1" t="n">
        <v>1000</v>
      </c>
    </row>
    <row r="73" customFormat="false" ht="12.8" hidden="false" customHeight="false" outlineLevel="0" collapsed="false">
      <c r="A73" s="1" t="s">
        <v>3674</v>
      </c>
      <c r="B73" s="1" t="s">
        <v>3675</v>
      </c>
      <c r="C73" s="1" t="n">
        <v>200</v>
      </c>
      <c r="D73" s="1" t="s">
        <v>3676</v>
      </c>
      <c r="E73" s="1" t="s">
        <v>3176</v>
      </c>
      <c r="F73" s="1" t="s">
        <v>3678</v>
      </c>
      <c r="G73" s="1" t="s">
        <v>3679</v>
      </c>
    </row>
    <row r="74" customFormat="false" ht="12.8" hidden="false" customHeight="false" outlineLevel="0" collapsed="false">
      <c r="A74" s="1" t="s">
        <v>3674</v>
      </c>
      <c r="B74" s="1" t="s">
        <v>3675</v>
      </c>
      <c r="C74" s="1" t="n">
        <v>200</v>
      </c>
      <c r="D74" s="1" t="s">
        <v>3676</v>
      </c>
      <c r="E74" s="1" t="s">
        <v>3176</v>
      </c>
      <c r="F74" s="1" t="s">
        <v>3666</v>
      </c>
      <c r="G74" s="8" t="s">
        <v>3667</v>
      </c>
    </row>
    <row r="75" customFormat="false" ht="12.8" hidden="false" customHeight="false" outlineLevel="0" collapsed="false">
      <c r="A75" s="1" t="s">
        <v>3674</v>
      </c>
      <c r="B75" s="1" t="s">
        <v>3675</v>
      </c>
      <c r="C75" s="1" t="n">
        <v>200</v>
      </c>
      <c r="D75" s="1" t="s">
        <v>3676</v>
      </c>
      <c r="E75" s="1" t="s">
        <v>3176</v>
      </c>
      <c r="F75" s="1" t="s">
        <v>3668</v>
      </c>
      <c r="G75" s="8" t="s">
        <v>3516</v>
      </c>
    </row>
    <row r="76" customFormat="false" ht="12.8" hidden="false" customHeight="false" outlineLevel="0" collapsed="false">
      <c r="A76" s="1" t="s">
        <v>3674</v>
      </c>
      <c r="B76" s="1" t="s">
        <v>3675</v>
      </c>
      <c r="C76" s="1" t="n">
        <v>200</v>
      </c>
      <c r="D76" s="1" t="s">
        <v>3676</v>
      </c>
      <c r="E76" s="1" t="s">
        <v>3176</v>
      </c>
      <c r="F76" s="1" t="s">
        <v>3669</v>
      </c>
      <c r="G76" s="8" t="s">
        <v>3516</v>
      </c>
    </row>
    <row r="77" customFormat="false" ht="12.8" hidden="false" customHeight="false" outlineLevel="0" collapsed="false">
      <c r="A77" s="1" t="s">
        <v>3674</v>
      </c>
      <c r="B77" s="1" t="s">
        <v>3675</v>
      </c>
      <c r="C77" s="1" t="n">
        <v>200</v>
      </c>
      <c r="D77" s="1" t="s">
        <v>3676</v>
      </c>
      <c r="E77" s="1" t="s">
        <v>3176</v>
      </c>
      <c r="F77" s="1" t="s">
        <v>3670</v>
      </c>
      <c r="G77" s="1" t="s">
        <v>3671</v>
      </c>
    </row>
    <row r="78" customFormat="false" ht="12.8" hidden="false" customHeight="false" outlineLevel="0" collapsed="false">
      <c r="A78" s="1" t="s">
        <v>3674</v>
      </c>
      <c r="B78" s="1" t="s">
        <v>3675</v>
      </c>
      <c r="C78" s="1" t="n">
        <v>200</v>
      </c>
      <c r="D78" s="1" t="s">
        <v>3676</v>
      </c>
      <c r="E78" s="1" t="s">
        <v>3176</v>
      </c>
      <c r="F78" s="1" t="s">
        <v>3672</v>
      </c>
      <c r="G78" s="1" t="s">
        <v>3671</v>
      </c>
    </row>
    <row r="79" customFormat="false" ht="12.8" hidden="false" customHeight="false" outlineLevel="0" collapsed="false">
      <c r="A79" s="1" t="s">
        <v>3674</v>
      </c>
      <c r="B79" s="1" t="s">
        <v>3675</v>
      </c>
      <c r="C79" s="1" t="n">
        <v>200</v>
      </c>
      <c r="D79" s="1" t="s">
        <v>3676</v>
      </c>
      <c r="E79" s="1" t="s">
        <v>3176</v>
      </c>
      <c r="F79" s="1" t="s">
        <v>3673</v>
      </c>
      <c r="G79" s="8" t="s">
        <v>3667</v>
      </c>
    </row>
    <row r="1048466" customFormat="false" ht="12.8" hidden="false" customHeight="false" outlineLevel="0" collapsed="false">
      <c r="A1048466" s="2" t="s">
        <v>3154</v>
      </c>
      <c r="B1048466" s="2" t="s">
        <v>3155</v>
      </c>
      <c r="C1048466" s="2" t="s">
        <v>3156</v>
      </c>
      <c r="D1048466" s="2" t="s">
        <v>3149</v>
      </c>
      <c r="E1048466" s="2" t="s">
        <v>3157</v>
      </c>
      <c r="F1048466" s="2" t="s">
        <v>3158</v>
      </c>
      <c r="G1048466" s="2" t="s">
        <v>3159</v>
      </c>
    </row>
    <row r="1048467" customFormat="false" ht="12.8" hidden="false" customHeight="false" outlineLevel="0" collapsed="false">
      <c r="A1048467" s="1" t="s">
        <v>3674</v>
      </c>
      <c r="B1048467" s="1" t="s">
        <v>3675</v>
      </c>
      <c r="C1048467" s="1" t="n">
        <v>200</v>
      </c>
      <c r="D1048467" s="1" t="s">
        <v>3676</v>
      </c>
      <c r="E1048467" s="1" t="s">
        <v>3176</v>
      </c>
      <c r="F1048467" s="1" t="s">
        <v>3506</v>
      </c>
      <c r="G1048467" s="1" t="s">
        <v>3507</v>
      </c>
    </row>
    <row r="1048468" customFormat="false" ht="12.8" hidden="false" customHeight="false" outlineLevel="0" collapsed="false">
      <c r="A1048468" s="1" t="s">
        <v>3674</v>
      </c>
      <c r="B1048468" s="1" t="s">
        <v>3675</v>
      </c>
      <c r="C1048468" s="1" t="n">
        <v>200</v>
      </c>
      <c r="D1048468" s="1" t="s">
        <v>3676</v>
      </c>
      <c r="E1048468" s="1" t="s">
        <v>3176</v>
      </c>
      <c r="F1048468" s="1" t="s">
        <v>3508</v>
      </c>
      <c r="G1048468" s="1" t="s">
        <v>3509</v>
      </c>
    </row>
    <row r="1048469" customFormat="false" ht="12.8" hidden="false" customHeight="false" outlineLevel="0" collapsed="false">
      <c r="A1048469" s="1" t="s">
        <v>3674</v>
      </c>
      <c r="B1048469" s="1" t="s">
        <v>3675</v>
      </c>
      <c r="C1048469" s="1" t="n">
        <v>200</v>
      </c>
      <c r="D1048469" s="1" t="s">
        <v>3676</v>
      </c>
      <c r="E1048469" s="1" t="s">
        <v>3176</v>
      </c>
      <c r="F1048469" s="1" t="s">
        <v>3510</v>
      </c>
      <c r="G1048469" s="1" t="s">
        <v>3511</v>
      </c>
    </row>
    <row r="1048470" customFormat="false" ht="12.8" hidden="false" customHeight="false" outlineLevel="0" collapsed="false">
      <c r="A1048470" s="1" t="s">
        <v>3674</v>
      </c>
      <c r="B1048470" s="1" t="s">
        <v>3675</v>
      </c>
      <c r="C1048470" s="1" t="n">
        <v>200</v>
      </c>
      <c r="D1048470" s="1" t="s">
        <v>3676</v>
      </c>
      <c r="E1048470" s="1" t="s">
        <v>3176</v>
      </c>
      <c r="F1048470" s="1" t="s">
        <v>3512</v>
      </c>
      <c r="G1048470" s="1" t="s">
        <v>3511</v>
      </c>
    </row>
    <row r="1048471" customFormat="false" ht="12.8" hidden="false" customHeight="false" outlineLevel="0" collapsed="false">
      <c r="A1048471" s="1" t="s">
        <v>3674</v>
      </c>
      <c r="B1048471" s="1" t="s">
        <v>3675</v>
      </c>
      <c r="C1048471" s="1" t="n">
        <v>200</v>
      </c>
      <c r="D1048471" s="1" t="s">
        <v>3676</v>
      </c>
      <c r="E1048471" s="1" t="s">
        <v>3176</v>
      </c>
      <c r="F1048471" s="1" t="s">
        <v>3513</v>
      </c>
      <c r="G1048471" s="1" t="s">
        <v>3514</v>
      </c>
    </row>
    <row r="1048472" customFormat="false" ht="12.8" hidden="false" customHeight="false" outlineLevel="0" collapsed="false">
      <c r="A1048472" s="1" t="s">
        <v>3674</v>
      </c>
      <c r="B1048472" s="1" t="s">
        <v>3675</v>
      </c>
      <c r="C1048472" s="1" t="n">
        <v>200</v>
      </c>
      <c r="D1048472" s="1" t="s">
        <v>3676</v>
      </c>
      <c r="E1048472" s="1" t="s">
        <v>3176</v>
      </c>
      <c r="F1048472" s="1" t="s">
        <v>3515</v>
      </c>
      <c r="G1048472" s="8" t="s">
        <v>3516</v>
      </c>
    </row>
    <row r="1048473" customFormat="false" ht="12.8" hidden="false" customHeight="false" outlineLevel="0" collapsed="false">
      <c r="A1048473" s="1" t="s">
        <v>3674</v>
      </c>
      <c r="B1048473" s="1" t="s">
        <v>3675</v>
      </c>
      <c r="C1048473" s="1" t="n">
        <v>200</v>
      </c>
      <c r="D1048473" s="1" t="s">
        <v>3676</v>
      </c>
      <c r="E1048473" s="1" t="s">
        <v>3176</v>
      </c>
      <c r="F1048473" s="1" t="s">
        <v>3517</v>
      </c>
      <c r="G1048473" s="1" t="n">
        <v>8080</v>
      </c>
    </row>
    <row r="1048474" customFormat="false" ht="12.8" hidden="false" customHeight="false" outlineLevel="0" collapsed="false">
      <c r="A1048474" s="1" t="s">
        <v>3674</v>
      </c>
      <c r="B1048474" s="1" t="s">
        <v>3675</v>
      </c>
      <c r="C1048474" s="1" t="n">
        <v>200</v>
      </c>
      <c r="D1048474" s="1" t="s">
        <v>3676</v>
      </c>
      <c r="E1048474" s="1" t="s">
        <v>3176</v>
      </c>
      <c r="F1048474" s="1" t="s">
        <v>3518</v>
      </c>
      <c r="G1048474" s="1" t="s">
        <v>3519</v>
      </c>
    </row>
    <row r="1048475" customFormat="false" ht="12.8" hidden="false" customHeight="false" outlineLevel="0" collapsed="false">
      <c r="A1048475" s="1" t="s">
        <v>3674</v>
      </c>
      <c r="B1048475" s="1" t="s">
        <v>3675</v>
      </c>
      <c r="C1048475" s="1" t="n">
        <v>200</v>
      </c>
      <c r="D1048475" s="1" t="s">
        <v>3676</v>
      </c>
      <c r="E1048475" s="1" t="s">
        <v>3176</v>
      </c>
      <c r="F1048475" s="1" t="s">
        <v>3520</v>
      </c>
      <c r="G1048475" s="1" t="s">
        <v>3521</v>
      </c>
    </row>
    <row r="1048476" customFormat="false" ht="12.8" hidden="false" customHeight="false" outlineLevel="0" collapsed="false">
      <c r="A1048476" s="1" t="s">
        <v>3674</v>
      </c>
      <c r="B1048476" s="1" t="s">
        <v>3675</v>
      </c>
      <c r="C1048476" s="1" t="n">
        <v>200</v>
      </c>
      <c r="D1048476" s="1" t="s">
        <v>3676</v>
      </c>
      <c r="E1048476" s="1" t="s">
        <v>3176</v>
      </c>
      <c r="F1048476" s="1" t="s">
        <v>3522</v>
      </c>
      <c r="G1048476" s="1" t="n">
        <v>500000</v>
      </c>
    </row>
    <row r="1048477" customFormat="false" ht="12.8" hidden="false" customHeight="false" outlineLevel="0" collapsed="false">
      <c r="A1048477" s="1" t="s">
        <v>3674</v>
      </c>
      <c r="B1048477" s="1" t="s">
        <v>3675</v>
      </c>
      <c r="C1048477" s="1" t="n">
        <v>200</v>
      </c>
      <c r="D1048477" s="1" t="s">
        <v>3676</v>
      </c>
      <c r="E1048477" s="1" t="s">
        <v>3176</v>
      </c>
      <c r="F1048477" s="1" t="s">
        <v>3523</v>
      </c>
      <c r="G1048477" s="1" t="s">
        <v>3524</v>
      </c>
    </row>
    <row r="1048478" customFormat="false" ht="12.8" hidden="false" customHeight="false" outlineLevel="0" collapsed="false">
      <c r="A1048478" s="1" t="s">
        <v>3674</v>
      </c>
      <c r="B1048478" s="1" t="s">
        <v>3675</v>
      </c>
      <c r="C1048478" s="1" t="n">
        <v>200</v>
      </c>
      <c r="D1048478" s="1" t="s">
        <v>3676</v>
      </c>
      <c r="E1048478" s="1" t="s">
        <v>3176</v>
      </c>
      <c r="F1048478" s="1" t="s">
        <v>3525</v>
      </c>
      <c r="G1048478" s="1" t="s">
        <v>3526</v>
      </c>
    </row>
    <row r="1048479" customFormat="false" ht="12.8" hidden="false" customHeight="false" outlineLevel="0" collapsed="false">
      <c r="A1048479" s="1" t="s">
        <v>3674</v>
      </c>
      <c r="B1048479" s="1" t="s">
        <v>3675</v>
      </c>
      <c r="C1048479" s="1" t="n">
        <v>200</v>
      </c>
      <c r="D1048479" s="1" t="s">
        <v>3676</v>
      </c>
      <c r="E1048479" s="1" t="s">
        <v>3176</v>
      </c>
      <c r="F1048479" s="1" t="s">
        <v>3527</v>
      </c>
      <c r="G1048479" s="1" t="s">
        <v>3528</v>
      </c>
    </row>
    <row r="1048480" customFormat="false" ht="12.8" hidden="false" customHeight="false" outlineLevel="0" collapsed="false">
      <c r="A1048480" s="1" t="s">
        <v>3674</v>
      </c>
      <c r="B1048480" s="1" t="s">
        <v>3675</v>
      </c>
      <c r="C1048480" s="1" t="n">
        <v>200</v>
      </c>
      <c r="D1048480" s="1" t="s">
        <v>3676</v>
      </c>
      <c r="E1048480" s="1" t="s">
        <v>3176</v>
      </c>
      <c r="F1048480" s="1" t="s">
        <v>3529</v>
      </c>
      <c r="G1048480" s="1" t="s">
        <v>3530</v>
      </c>
    </row>
    <row r="1048481" customFormat="false" ht="12.8" hidden="false" customHeight="false" outlineLevel="0" collapsed="false">
      <c r="A1048481" s="1" t="s">
        <v>3674</v>
      </c>
      <c r="B1048481" s="1" t="s">
        <v>3675</v>
      </c>
      <c r="C1048481" s="1" t="n">
        <v>200</v>
      </c>
      <c r="D1048481" s="1" t="s">
        <v>3676</v>
      </c>
      <c r="E1048481" s="1" t="s">
        <v>3176</v>
      </c>
      <c r="F1048481" s="1" t="s">
        <v>3531</v>
      </c>
      <c r="G1048481" s="1" t="s">
        <v>3532</v>
      </c>
    </row>
    <row r="1048482" customFormat="false" ht="12.8" hidden="false" customHeight="false" outlineLevel="0" collapsed="false">
      <c r="A1048482" s="1" t="s">
        <v>3674</v>
      </c>
      <c r="B1048482" s="1" t="s">
        <v>3675</v>
      </c>
      <c r="C1048482" s="1" t="n">
        <v>200</v>
      </c>
      <c r="D1048482" s="1" t="s">
        <v>3676</v>
      </c>
      <c r="E1048482" s="1" t="s">
        <v>3176</v>
      </c>
      <c r="F1048482" s="1" t="s">
        <v>3533</v>
      </c>
      <c r="G1048482" s="1" t="s">
        <v>3534</v>
      </c>
    </row>
    <row r="1048483" customFormat="false" ht="12.8" hidden="false" customHeight="false" outlineLevel="0" collapsed="false">
      <c r="A1048483" s="1" t="s">
        <v>3674</v>
      </c>
      <c r="B1048483" s="1" t="s">
        <v>3675</v>
      </c>
      <c r="C1048483" s="1" t="n">
        <v>200</v>
      </c>
      <c r="D1048483" s="1" t="s">
        <v>3676</v>
      </c>
      <c r="E1048483" s="1" t="s">
        <v>3176</v>
      </c>
      <c r="F1048483" s="1" t="s">
        <v>3535</v>
      </c>
      <c r="G1048483" s="1" t="s">
        <v>3536</v>
      </c>
    </row>
    <row r="1048484" customFormat="false" ht="12.8" hidden="false" customHeight="false" outlineLevel="0" collapsed="false">
      <c r="A1048484" s="1" t="s">
        <v>3674</v>
      </c>
      <c r="B1048484" s="1" t="s">
        <v>3675</v>
      </c>
      <c r="C1048484" s="1" t="n">
        <v>200</v>
      </c>
      <c r="D1048484" s="1" t="s">
        <v>3676</v>
      </c>
      <c r="E1048484" s="1" t="s">
        <v>3176</v>
      </c>
      <c r="F1048484" s="1" t="s">
        <v>3537</v>
      </c>
      <c r="G1048484" s="1" t="s">
        <v>3538</v>
      </c>
    </row>
    <row r="1048485" customFormat="false" ht="12.8" hidden="false" customHeight="false" outlineLevel="0" collapsed="false">
      <c r="A1048485" s="1" t="s">
        <v>3674</v>
      </c>
      <c r="B1048485" s="1" t="s">
        <v>3675</v>
      </c>
      <c r="C1048485" s="1" t="n">
        <v>200</v>
      </c>
      <c r="D1048485" s="1" t="s">
        <v>3676</v>
      </c>
      <c r="E1048485" s="1" t="s">
        <v>3176</v>
      </c>
      <c r="F1048485" s="1" t="s">
        <v>3539</v>
      </c>
      <c r="G1048485" s="1" t="s">
        <v>3540</v>
      </c>
    </row>
    <row r="1048486" customFormat="false" ht="12.8" hidden="false" customHeight="false" outlineLevel="0" collapsed="false">
      <c r="A1048486" s="1" t="s">
        <v>3674</v>
      </c>
      <c r="B1048486" s="1" t="s">
        <v>3675</v>
      </c>
      <c r="C1048486" s="1" t="n">
        <v>200</v>
      </c>
      <c r="D1048486" s="1" t="s">
        <v>3676</v>
      </c>
      <c r="E1048486" s="1" t="s">
        <v>3176</v>
      </c>
      <c r="F1048486" s="1" t="s">
        <v>3541</v>
      </c>
      <c r="G1048486" s="1" t="s">
        <v>3542</v>
      </c>
    </row>
    <row r="1048487" customFormat="false" ht="12.8" hidden="false" customHeight="false" outlineLevel="0" collapsed="false">
      <c r="A1048487" s="1" t="s">
        <v>3674</v>
      </c>
      <c r="B1048487" s="1" t="s">
        <v>3675</v>
      </c>
      <c r="C1048487" s="1" t="n">
        <v>200</v>
      </c>
      <c r="D1048487" s="1" t="s">
        <v>3676</v>
      </c>
      <c r="E1048487" s="1" t="s">
        <v>3176</v>
      </c>
      <c r="F1048487" s="1" t="s">
        <v>3543</v>
      </c>
      <c r="G1048487" s="1" t="s">
        <v>3544</v>
      </c>
    </row>
    <row r="1048488" customFormat="false" ht="12.8" hidden="false" customHeight="false" outlineLevel="0" collapsed="false">
      <c r="A1048488" s="1" t="s">
        <v>3674</v>
      </c>
      <c r="B1048488" s="1" t="s">
        <v>3675</v>
      </c>
      <c r="C1048488" s="1" t="n">
        <v>200</v>
      </c>
      <c r="D1048488" s="1" t="s">
        <v>3676</v>
      </c>
      <c r="E1048488" s="1" t="s">
        <v>3176</v>
      </c>
      <c r="F1048488" s="1" t="s">
        <v>3545</v>
      </c>
      <c r="G1048488" s="1" t="s">
        <v>3546</v>
      </c>
    </row>
    <row r="1048489" customFormat="false" ht="12.8" hidden="false" customHeight="false" outlineLevel="0" collapsed="false">
      <c r="A1048489" s="1" t="s">
        <v>3674</v>
      </c>
      <c r="B1048489" s="1" t="s">
        <v>3675</v>
      </c>
      <c r="C1048489" s="1" t="n">
        <v>200</v>
      </c>
      <c r="D1048489" s="1" t="s">
        <v>3676</v>
      </c>
      <c r="E1048489" s="1" t="s">
        <v>3176</v>
      </c>
      <c r="F1048489" s="1" t="s">
        <v>3547</v>
      </c>
      <c r="G1048489" s="1" t="s">
        <v>3524</v>
      </c>
    </row>
    <row r="1048490" customFormat="false" ht="12.8" hidden="false" customHeight="false" outlineLevel="0" collapsed="false">
      <c r="A1048490" s="1" t="s">
        <v>3674</v>
      </c>
      <c r="B1048490" s="1" t="s">
        <v>3675</v>
      </c>
      <c r="C1048490" s="1" t="n">
        <v>200</v>
      </c>
      <c r="D1048490" s="1" t="s">
        <v>3676</v>
      </c>
      <c r="E1048490" s="1" t="s">
        <v>3176</v>
      </c>
      <c r="F1048490" s="1" t="s">
        <v>3548</v>
      </c>
      <c r="G1048490" s="1" t="s">
        <v>3526</v>
      </c>
    </row>
    <row r="1048491" customFormat="false" ht="12.8" hidden="false" customHeight="false" outlineLevel="0" collapsed="false">
      <c r="A1048491" s="1" t="s">
        <v>3674</v>
      </c>
      <c r="B1048491" s="1" t="s">
        <v>3675</v>
      </c>
      <c r="C1048491" s="1" t="n">
        <v>200</v>
      </c>
      <c r="D1048491" s="1" t="s">
        <v>3676</v>
      </c>
      <c r="E1048491" s="1" t="s">
        <v>3176</v>
      </c>
      <c r="F1048491" s="1" t="s">
        <v>3549</v>
      </c>
      <c r="G1048491" s="1" t="s">
        <v>3528</v>
      </c>
    </row>
    <row r="1048492" customFormat="false" ht="12.8" hidden="false" customHeight="false" outlineLevel="0" collapsed="false">
      <c r="A1048492" s="1" t="s">
        <v>3674</v>
      </c>
      <c r="B1048492" s="1" t="s">
        <v>3675</v>
      </c>
      <c r="C1048492" s="1" t="n">
        <v>200</v>
      </c>
      <c r="D1048492" s="1" t="s">
        <v>3676</v>
      </c>
      <c r="E1048492" s="1" t="s">
        <v>3176</v>
      </c>
      <c r="F1048492" s="1" t="s">
        <v>3550</v>
      </c>
      <c r="G1048492" s="1" t="s">
        <v>3530</v>
      </c>
    </row>
    <row r="1048493" customFormat="false" ht="12.8" hidden="false" customHeight="false" outlineLevel="0" collapsed="false">
      <c r="A1048493" s="1" t="s">
        <v>3674</v>
      </c>
      <c r="B1048493" s="1" t="s">
        <v>3675</v>
      </c>
      <c r="C1048493" s="1" t="n">
        <v>200</v>
      </c>
      <c r="D1048493" s="1" t="s">
        <v>3676</v>
      </c>
      <c r="E1048493" s="1" t="s">
        <v>3176</v>
      </c>
      <c r="F1048493" s="1" t="s">
        <v>3551</v>
      </c>
      <c r="G1048493" s="1" t="s">
        <v>3536</v>
      </c>
    </row>
    <row r="1048494" customFormat="false" ht="12.8" hidden="false" customHeight="false" outlineLevel="0" collapsed="false">
      <c r="A1048494" s="1" t="s">
        <v>3674</v>
      </c>
      <c r="B1048494" s="1" t="s">
        <v>3675</v>
      </c>
      <c r="C1048494" s="1" t="n">
        <v>200</v>
      </c>
      <c r="D1048494" s="1" t="s">
        <v>3676</v>
      </c>
      <c r="E1048494" s="1" t="s">
        <v>3176</v>
      </c>
      <c r="F1048494" s="1" t="s">
        <v>3552</v>
      </c>
      <c r="G1048494" s="1" t="s">
        <v>3538</v>
      </c>
    </row>
    <row r="1048495" customFormat="false" ht="12.8" hidden="false" customHeight="false" outlineLevel="0" collapsed="false">
      <c r="A1048495" s="1" t="s">
        <v>3674</v>
      </c>
      <c r="B1048495" s="1" t="s">
        <v>3675</v>
      </c>
      <c r="C1048495" s="1" t="n">
        <v>200</v>
      </c>
      <c r="D1048495" s="1" t="s">
        <v>3676</v>
      </c>
      <c r="E1048495" s="1" t="s">
        <v>3176</v>
      </c>
      <c r="F1048495" s="1" t="s">
        <v>3553</v>
      </c>
      <c r="G1048495" s="1" t="s">
        <v>3540</v>
      </c>
    </row>
    <row r="1048496" customFormat="false" ht="12.8" hidden="false" customHeight="false" outlineLevel="0" collapsed="false">
      <c r="A1048496" s="1" t="s">
        <v>3674</v>
      </c>
      <c r="B1048496" s="1" t="s">
        <v>3675</v>
      </c>
      <c r="C1048496" s="1" t="n">
        <v>200</v>
      </c>
      <c r="D1048496" s="1" t="s">
        <v>3676</v>
      </c>
      <c r="E1048496" s="1" t="s">
        <v>3176</v>
      </c>
      <c r="F1048496" s="1" t="s">
        <v>3554</v>
      </c>
      <c r="G1048496" s="1" t="s">
        <v>3542</v>
      </c>
    </row>
    <row r="1048497" customFormat="false" ht="12.8" hidden="false" customHeight="false" outlineLevel="0" collapsed="false">
      <c r="A1048497" s="1" t="s">
        <v>3674</v>
      </c>
      <c r="B1048497" s="1" t="s">
        <v>3675</v>
      </c>
      <c r="C1048497" s="1" t="n">
        <v>200</v>
      </c>
      <c r="D1048497" s="1" t="s">
        <v>3676</v>
      </c>
      <c r="E1048497" s="1" t="s">
        <v>3176</v>
      </c>
      <c r="F1048497" s="1" t="s">
        <v>3555</v>
      </c>
      <c r="G1048497" s="1" t="s">
        <v>3544</v>
      </c>
    </row>
    <row r="1048498" customFormat="false" ht="12.8" hidden="false" customHeight="false" outlineLevel="0" collapsed="false">
      <c r="A1048498" s="1" t="s">
        <v>3674</v>
      </c>
      <c r="B1048498" s="1" t="s">
        <v>3675</v>
      </c>
      <c r="C1048498" s="1" t="n">
        <v>200</v>
      </c>
      <c r="D1048498" s="1" t="s">
        <v>3676</v>
      </c>
      <c r="E1048498" s="1" t="s">
        <v>3176</v>
      </c>
      <c r="F1048498" s="1" t="s">
        <v>3556</v>
      </c>
      <c r="G1048498" s="1" t="s">
        <v>3546</v>
      </c>
    </row>
    <row r="1048499" customFormat="false" ht="12.8" hidden="false" customHeight="false" outlineLevel="0" collapsed="false">
      <c r="A1048499" s="1" t="s">
        <v>3674</v>
      </c>
      <c r="B1048499" s="1" t="s">
        <v>3675</v>
      </c>
      <c r="C1048499" s="1" t="n">
        <v>200</v>
      </c>
      <c r="D1048499" s="1" t="s">
        <v>3676</v>
      </c>
      <c r="E1048499" s="1" t="s">
        <v>3176</v>
      </c>
      <c r="F1048499" s="1" t="s">
        <v>3566</v>
      </c>
      <c r="G1048499" s="8" t="s">
        <v>3516</v>
      </c>
    </row>
    <row r="1048500" customFormat="false" ht="12.8" hidden="false" customHeight="false" outlineLevel="0" collapsed="false">
      <c r="A1048500" s="1" t="s">
        <v>3674</v>
      </c>
      <c r="B1048500" s="1" t="s">
        <v>3675</v>
      </c>
      <c r="C1048500" s="1" t="n">
        <v>200</v>
      </c>
      <c r="D1048500" s="1" t="s">
        <v>3676</v>
      </c>
      <c r="E1048500" s="1" t="s">
        <v>3176</v>
      </c>
      <c r="F1048500" s="1" t="s">
        <v>3567</v>
      </c>
      <c r="G1048500" s="1" t="s">
        <v>3568</v>
      </c>
    </row>
    <row r="1048501" customFormat="false" ht="12.8" hidden="false" customHeight="false" outlineLevel="0" collapsed="false">
      <c r="A1048501" s="1" t="s">
        <v>3674</v>
      </c>
      <c r="B1048501" s="1" t="s">
        <v>3675</v>
      </c>
      <c r="C1048501" s="1" t="n">
        <v>200</v>
      </c>
      <c r="D1048501" s="1" t="s">
        <v>3676</v>
      </c>
      <c r="E1048501" s="1" t="s">
        <v>3176</v>
      </c>
      <c r="F1048501" s="1" t="s">
        <v>3569</v>
      </c>
      <c r="G1048501" s="1" t="s">
        <v>3570</v>
      </c>
    </row>
    <row r="1048502" customFormat="false" ht="12.8" hidden="false" customHeight="false" outlineLevel="0" collapsed="false">
      <c r="A1048502" s="1" t="s">
        <v>3674</v>
      </c>
      <c r="B1048502" s="1" t="s">
        <v>3675</v>
      </c>
      <c r="C1048502" s="1" t="n">
        <v>200</v>
      </c>
      <c r="D1048502" s="1" t="s">
        <v>3676</v>
      </c>
      <c r="E1048502" s="1" t="s">
        <v>3176</v>
      </c>
      <c r="F1048502" s="1" t="s">
        <v>3571</v>
      </c>
      <c r="G1048502" s="1" t="s">
        <v>3572</v>
      </c>
    </row>
    <row r="1048503" customFormat="false" ht="12.8" hidden="false" customHeight="false" outlineLevel="0" collapsed="false">
      <c r="A1048503" s="1" t="s">
        <v>3674</v>
      </c>
      <c r="B1048503" s="1" t="s">
        <v>3675</v>
      </c>
      <c r="C1048503" s="1" t="n">
        <v>200</v>
      </c>
      <c r="D1048503" s="1" t="s">
        <v>3676</v>
      </c>
      <c r="E1048503" s="1" t="s">
        <v>3176</v>
      </c>
      <c r="F1048503" s="1" t="s">
        <v>3573</v>
      </c>
      <c r="G1048503" s="8" t="s">
        <v>3516</v>
      </c>
    </row>
    <row r="1048504" customFormat="false" ht="12.8" hidden="false" customHeight="false" outlineLevel="0" collapsed="false">
      <c r="A1048504" s="1" t="s">
        <v>3674</v>
      </c>
      <c r="B1048504" s="1" t="s">
        <v>3675</v>
      </c>
      <c r="C1048504" s="1" t="n">
        <v>200</v>
      </c>
      <c r="D1048504" s="1" t="s">
        <v>3676</v>
      </c>
      <c r="E1048504" s="1" t="s">
        <v>3176</v>
      </c>
      <c r="F1048504" s="1" t="s">
        <v>3574</v>
      </c>
      <c r="G1048504" s="1" t="s">
        <v>3575</v>
      </c>
    </row>
    <row r="1048505" customFormat="false" ht="12.8" hidden="false" customHeight="false" outlineLevel="0" collapsed="false">
      <c r="A1048505" s="1" t="s">
        <v>3674</v>
      </c>
      <c r="B1048505" s="1" t="s">
        <v>3675</v>
      </c>
      <c r="C1048505" s="1" t="n">
        <v>200</v>
      </c>
      <c r="D1048505" s="1" t="s">
        <v>3676</v>
      </c>
      <c r="E1048505" s="1" t="s">
        <v>3176</v>
      </c>
      <c r="F1048505" s="1" t="s">
        <v>3576</v>
      </c>
      <c r="G1048505" s="8" t="s">
        <v>3516</v>
      </c>
    </row>
    <row r="1048506" customFormat="false" ht="12.8" hidden="false" customHeight="false" outlineLevel="0" collapsed="false">
      <c r="A1048506" s="1" t="s">
        <v>3674</v>
      </c>
      <c r="B1048506" s="1" t="s">
        <v>3675</v>
      </c>
      <c r="C1048506" s="1" t="n">
        <v>200</v>
      </c>
      <c r="D1048506" s="1" t="s">
        <v>3676</v>
      </c>
      <c r="E1048506" s="1" t="s">
        <v>3176</v>
      </c>
      <c r="F1048506" s="1" t="s">
        <v>3577</v>
      </c>
      <c r="G1048506" s="8" t="s">
        <v>3516</v>
      </c>
    </row>
    <row r="1048507" customFormat="false" ht="12.8" hidden="false" customHeight="false" outlineLevel="0" collapsed="false">
      <c r="A1048507" s="1" t="s">
        <v>3674</v>
      </c>
      <c r="B1048507" s="1" t="s">
        <v>3675</v>
      </c>
      <c r="C1048507" s="1" t="n">
        <v>200</v>
      </c>
      <c r="D1048507" s="1" t="s">
        <v>3676</v>
      </c>
      <c r="E1048507" s="1" t="s">
        <v>3176</v>
      </c>
      <c r="F1048507" s="1" t="s">
        <v>3318</v>
      </c>
      <c r="G1048507" s="1" t="s">
        <v>3578</v>
      </c>
    </row>
    <row r="1048508" customFormat="false" ht="12.8" hidden="false" customHeight="false" outlineLevel="0" collapsed="false">
      <c r="A1048508" s="1" t="s">
        <v>3674</v>
      </c>
      <c r="B1048508" s="1" t="s">
        <v>3675</v>
      </c>
      <c r="C1048508" s="1" t="n">
        <v>200</v>
      </c>
      <c r="D1048508" s="1" t="s">
        <v>3676</v>
      </c>
      <c r="E1048508" s="1" t="s">
        <v>3176</v>
      </c>
      <c r="F1048508" s="1" t="s">
        <v>3436</v>
      </c>
      <c r="G1048508" s="1" t="s">
        <v>3244</v>
      </c>
    </row>
    <row r="1048509" customFormat="false" ht="12.8" hidden="false" customHeight="false" outlineLevel="0" collapsed="false">
      <c r="A1048509" s="1" t="s">
        <v>3674</v>
      </c>
      <c r="B1048509" s="1" t="s">
        <v>3675</v>
      </c>
      <c r="C1048509" s="1" t="n">
        <v>200</v>
      </c>
      <c r="D1048509" s="1" t="s">
        <v>3676</v>
      </c>
      <c r="E1048509" s="1" t="s">
        <v>3176</v>
      </c>
      <c r="F1048509" s="1" t="s">
        <v>3579</v>
      </c>
      <c r="G1048509" s="1" t="s">
        <v>3580</v>
      </c>
    </row>
    <row r="1048510" customFormat="false" ht="12.8" hidden="false" customHeight="false" outlineLevel="0" collapsed="false">
      <c r="A1048510" s="1" t="s">
        <v>3674</v>
      </c>
      <c r="B1048510" s="1" t="s">
        <v>3675</v>
      </c>
      <c r="C1048510" s="1" t="n">
        <v>200</v>
      </c>
      <c r="D1048510" s="1" t="s">
        <v>3676</v>
      </c>
      <c r="E1048510" s="1" t="s">
        <v>3176</v>
      </c>
      <c r="F1048510" s="1" t="s">
        <v>3591</v>
      </c>
      <c r="G1048510" s="1" t="s">
        <v>3592</v>
      </c>
    </row>
    <row r="1048511" customFormat="false" ht="12.8" hidden="false" customHeight="false" outlineLevel="0" collapsed="false">
      <c r="A1048511" s="1" t="s">
        <v>3674</v>
      </c>
      <c r="B1048511" s="1" t="s">
        <v>3675</v>
      </c>
      <c r="C1048511" s="1" t="n">
        <v>200</v>
      </c>
      <c r="D1048511" s="1" t="s">
        <v>3676</v>
      </c>
      <c r="E1048511" s="1" t="s">
        <v>3176</v>
      </c>
      <c r="F1048511" s="1" t="s">
        <v>3593</v>
      </c>
      <c r="G1048511" s="1" t="s">
        <v>3594</v>
      </c>
    </row>
    <row r="1048512" customFormat="false" ht="12.8" hidden="false" customHeight="false" outlineLevel="0" collapsed="false">
      <c r="A1048512" s="1" t="s">
        <v>3674</v>
      </c>
      <c r="B1048512" s="1" t="s">
        <v>3675</v>
      </c>
      <c r="C1048512" s="1" t="n">
        <v>200</v>
      </c>
      <c r="D1048512" s="1" t="s">
        <v>3676</v>
      </c>
      <c r="E1048512" s="1" t="s">
        <v>3176</v>
      </c>
      <c r="F1048512" s="1" t="s">
        <v>3595</v>
      </c>
      <c r="G1048512" s="1" t="s">
        <v>3596</v>
      </c>
    </row>
    <row r="1048513" customFormat="false" ht="12.8" hidden="false" customHeight="false" outlineLevel="0" collapsed="false">
      <c r="A1048513" s="1" t="s">
        <v>3674</v>
      </c>
      <c r="B1048513" s="1" t="s">
        <v>3675</v>
      </c>
      <c r="C1048513" s="1" t="n">
        <v>200</v>
      </c>
      <c r="D1048513" s="1" t="s">
        <v>3676</v>
      </c>
      <c r="E1048513" s="1" t="s">
        <v>3176</v>
      </c>
      <c r="F1048513" s="1" t="s">
        <v>3597</v>
      </c>
      <c r="G1048513" s="1" t="n">
        <v>5000</v>
      </c>
    </row>
    <row r="1048514" customFormat="false" ht="12.8" hidden="false" customHeight="false" outlineLevel="0" collapsed="false">
      <c r="A1048514" s="1" t="s">
        <v>3674</v>
      </c>
      <c r="B1048514" s="1" t="s">
        <v>3675</v>
      </c>
      <c r="C1048514" s="1" t="n">
        <v>200</v>
      </c>
      <c r="D1048514" s="1" t="s">
        <v>3676</v>
      </c>
      <c r="E1048514" s="1" t="s">
        <v>3176</v>
      </c>
      <c r="F1048514" s="1" t="s">
        <v>3598</v>
      </c>
      <c r="G1048514" s="1" t="s">
        <v>3599</v>
      </c>
    </row>
    <row r="1048515" customFormat="false" ht="12.8" hidden="false" customHeight="false" outlineLevel="0" collapsed="false">
      <c r="A1048515" s="1" t="s">
        <v>3674</v>
      </c>
      <c r="B1048515" s="1" t="s">
        <v>3675</v>
      </c>
      <c r="C1048515" s="1" t="n">
        <v>200</v>
      </c>
      <c r="D1048515" s="1" t="s">
        <v>3676</v>
      </c>
      <c r="E1048515" s="1" t="s">
        <v>3176</v>
      </c>
      <c r="F1048515" s="1" t="s">
        <v>3600</v>
      </c>
      <c r="G1048515" s="1" t="n">
        <v>64000</v>
      </c>
    </row>
    <row r="1048516" customFormat="false" ht="12.8" hidden="false" customHeight="false" outlineLevel="0" collapsed="false">
      <c r="A1048516" s="1" t="s">
        <v>3674</v>
      </c>
      <c r="B1048516" s="1" t="s">
        <v>3675</v>
      </c>
      <c r="C1048516" s="1" t="n">
        <v>200</v>
      </c>
      <c r="D1048516" s="1" t="s">
        <v>3676</v>
      </c>
      <c r="E1048516" s="1" t="s">
        <v>3176</v>
      </c>
      <c r="F1048516" s="1" t="s">
        <v>3601</v>
      </c>
      <c r="G1048516" s="1" t="s">
        <v>3602</v>
      </c>
    </row>
    <row r="1048517" customFormat="false" ht="12.8" hidden="false" customHeight="false" outlineLevel="0" collapsed="false">
      <c r="A1048517" s="1" t="s">
        <v>3674</v>
      </c>
      <c r="B1048517" s="1" t="s">
        <v>3675</v>
      </c>
      <c r="C1048517" s="1" t="n">
        <v>200</v>
      </c>
      <c r="D1048517" s="1" t="s">
        <v>3676</v>
      </c>
      <c r="E1048517" s="1" t="s">
        <v>3176</v>
      </c>
      <c r="F1048517" s="1" t="s">
        <v>3603</v>
      </c>
      <c r="G1048517" s="1" t="s">
        <v>3604</v>
      </c>
    </row>
    <row r="1048518" customFormat="false" ht="12.8" hidden="false" customHeight="false" outlineLevel="0" collapsed="false">
      <c r="A1048518" s="1" t="s">
        <v>3674</v>
      </c>
      <c r="B1048518" s="1" t="s">
        <v>3675</v>
      </c>
      <c r="C1048518" s="1" t="n">
        <v>200</v>
      </c>
      <c r="D1048518" s="1" t="s">
        <v>3676</v>
      </c>
      <c r="E1048518" s="1" t="s">
        <v>3176</v>
      </c>
      <c r="F1048518" s="1" t="s">
        <v>3605</v>
      </c>
      <c r="G1048518" s="1" t="n">
        <v>8080</v>
      </c>
    </row>
    <row r="1048519" customFormat="false" ht="12.8" hidden="false" customHeight="false" outlineLevel="0" collapsed="false">
      <c r="A1048519" s="1" t="s">
        <v>3674</v>
      </c>
      <c r="B1048519" s="1" t="s">
        <v>3675</v>
      </c>
      <c r="C1048519" s="1" t="n">
        <v>200</v>
      </c>
      <c r="D1048519" s="1" t="s">
        <v>3676</v>
      </c>
      <c r="E1048519" s="1" t="s">
        <v>3176</v>
      </c>
      <c r="F1048519" s="1" t="s">
        <v>3606</v>
      </c>
      <c r="G1048519" s="8" t="s">
        <v>3516</v>
      </c>
    </row>
    <row r="1048520" customFormat="false" ht="12.8" hidden="false" customHeight="false" outlineLevel="0" collapsed="false">
      <c r="A1048520" s="1" t="s">
        <v>3674</v>
      </c>
      <c r="B1048520" s="1" t="s">
        <v>3675</v>
      </c>
      <c r="C1048520" s="1" t="n">
        <v>200</v>
      </c>
      <c r="D1048520" s="1" t="s">
        <v>3676</v>
      </c>
      <c r="E1048520" s="1" t="s">
        <v>3176</v>
      </c>
      <c r="F1048520" s="1" t="s">
        <v>3607</v>
      </c>
      <c r="G1048520" s="1" t="n">
        <v>200</v>
      </c>
    </row>
    <row r="1048521" customFormat="false" ht="12.8" hidden="false" customHeight="false" outlineLevel="0" collapsed="false">
      <c r="A1048521" s="1" t="s">
        <v>3674</v>
      </c>
      <c r="B1048521" s="1" t="s">
        <v>3675</v>
      </c>
      <c r="C1048521" s="1" t="n">
        <v>200</v>
      </c>
      <c r="D1048521" s="1" t="s">
        <v>3676</v>
      </c>
      <c r="E1048521" s="1" t="s">
        <v>3176</v>
      </c>
      <c r="F1048521" s="1" t="s">
        <v>3608</v>
      </c>
      <c r="G1048521" s="1" t="n">
        <v>10</v>
      </c>
    </row>
    <row r="1048522" customFormat="false" ht="12.8" hidden="false" customHeight="false" outlineLevel="0" collapsed="false">
      <c r="A1048522" s="1" t="s">
        <v>3674</v>
      </c>
      <c r="B1048522" s="1" t="s">
        <v>3675</v>
      </c>
      <c r="C1048522" s="1" t="n">
        <v>200</v>
      </c>
      <c r="D1048522" s="1" t="s">
        <v>3676</v>
      </c>
      <c r="E1048522" s="1" t="s">
        <v>3176</v>
      </c>
      <c r="F1048522" s="1" t="s">
        <v>3609</v>
      </c>
      <c r="G1048522" s="1" t="n">
        <v>1</v>
      </c>
    </row>
    <row r="1048523" customFormat="false" ht="12.8" hidden="false" customHeight="false" outlineLevel="0" collapsed="false">
      <c r="A1048523" s="1" t="s">
        <v>3674</v>
      </c>
      <c r="B1048523" s="1" t="s">
        <v>3675</v>
      </c>
      <c r="C1048523" s="1" t="n">
        <v>200</v>
      </c>
      <c r="D1048523" s="1" t="s">
        <v>3676</v>
      </c>
      <c r="E1048523" s="1" t="s">
        <v>3176</v>
      </c>
      <c r="F1048523" s="1" t="s">
        <v>3631</v>
      </c>
      <c r="G1048523" s="1" t="s">
        <v>3254</v>
      </c>
    </row>
    <row r="1048524" customFormat="false" ht="12.8" hidden="false" customHeight="false" outlineLevel="0" collapsed="false">
      <c r="A1048524" s="1" t="s">
        <v>3674</v>
      </c>
      <c r="B1048524" s="1" t="s">
        <v>3675</v>
      </c>
      <c r="C1048524" s="1" t="n">
        <v>200</v>
      </c>
      <c r="D1048524" s="1" t="s">
        <v>3676</v>
      </c>
      <c r="E1048524" s="1" t="s">
        <v>3176</v>
      </c>
      <c r="F1048524" s="1" t="s">
        <v>3632</v>
      </c>
      <c r="G1048524" s="1" t="s">
        <v>3633</v>
      </c>
    </row>
    <row r="1048525" customFormat="false" ht="12.8" hidden="false" customHeight="false" outlineLevel="0" collapsed="false">
      <c r="A1048525" s="1" t="s">
        <v>3674</v>
      </c>
      <c r="B1048525" s="1" t="s">
        <v>3675</v>
      </c>
      <c r="C1048525" s="1" t="n">
        <v>200</v>
      </c>
      <c r="D1048525" s="1" t="s">
        <v>3676</v>
      </c>
      <c r="E1048525" s="1" t="s">
        <v>3176</v>
      </c>
      <c r="F1048525" s="1" t="s">
        <v>3634</v>
      </c>
      <c r="G1048525" s="1" t="s">
        <v>3635</v>
      </c>
    </row>
    <row r="1048526" customFormat="false" ht="12.8" hidden="false" customHeight="false" outlineLevel="0" collapsed="false">
      <c r="A1048526" s="1" t="s">
        <v>3674</v>
      </c>
      <c r="B1048526" s="1" t="s">
        <v>3675</v>
      </c>
      <c r="C1048526" s="1" t="n">
        <v>200</v>
      </c>
      <c r="D1048526" s="1" t="s">
        <v>3676</v>
      </c>
      <c r="E1048526" s="1" t="s">
        <v>3176</v>
      </c>
      <c r="F1048526" s="1" t="s">
        <v>3636</v>
      </c>
      <c r="G1048526" s="1" t="s">
        <v>3637</v>
      </c>
    </row>
    <row r="1048527" customFormat="false" ht="12.8" hidden="false" customHeight="false" outlineLevel="0" collapsed="false">
      <c r="A1048527" s="1" t="s">
        <v>3674</v>
      </c>
      <c r="B1048527" s="1" t="s">
        <v>3675</v>
      </c>
      <c r="C1048527" s="1" t="n">
        <v>200</v>
      </c>
      <c r="D1048527" s="1" t="s">
        <v>3676</v>
      </c>
      <c r="E1048527" s="1" t="s">
        <v>3176</v>
      </c>
      <c r="F1048527" s="1" t="s">
        <v>3638</v>
      </c>
      <c r="G1048527" s="1" t="s">
        <v>3639</v>
      </c>
    </row>
    <row r="1048528" customFormat="false" ht="12.8" hidden="false" customHeight="false" outlineLevel="0" collapsed="false">
      <c r="A1048528" s="1" t="s">
        <v>3674</v>
      </c>
      <c r="B1048528" s="1" t="s">
        <v>3675</v>
      </c>
      <c r="C1048528" s="1" t="n">
        <v>200</v>
      </c>
      <c r="D1048528" s="1" t="s">
        <v>3676</v>
      </c>
      <c r="E1048528" s="1" t="s">
        <v>3176</v>
      </c>
      <c r="F1048528" s="1" t="s">
        <v>3640</v>
      </c>
      <c r="G1048528" s="1" t="s">
        <v>3641</v>
      </c>
    </row>
    <row r="1048529" customFormat="false" ht="12.8" hidden="false" customHeight="false" outlineLevel="0" collapsed="false">
      <c r="A1048529" s="1" t="s">
        <v>3674</v>
      </c>
      <c r="B1048529" s="1" t="s">
        <v>3675</v>
      </c>
      <c r="C1048529" s="1" t="n">
        <v>200</v>
      </c>
      <c r="D1048529" s="1" t="s">
        <v>3676</v>
      </c>
      <c r="E1048529" s="1" t="s">
        <v>3176</v>
      </c>
      <c r="F1048529" s="1" t="s">
        <v>3326</v>
      </c>
      <c r="G1048529" s="1" t="s">
        <v>3254</v>
      </c>
    </row>
    <row r="1048530" customFormat="false" ht="12.8" hidden="false" customHeight="false" outlineLevel="0" collapsed="false">
      <c r="A1048530" s="1" t="s">
        <v>3674</v>
      </c>
      <c r="B1048530" s="1" t="s">
        <v>3675</v>
      </c>
      <c r="C1048530" s="1" t="n">
        <v>200</v>
      </c>
      <c r="D1048530" s="1" t="s">
        <v>3676</v>
      </c>
      <c r="E1048530" s="1" t="s">
        <v>3176</v>
      </c>
      <c r="F1048530" s="1" t="s">
        <v>3642</v>
      </c>
      <c r="G1048530" s="1" t="s">
        <v>3643</v>
      </c>
    </row>
    <row r="1048531" customFormat="false" ht="12.8" hidden="false" customHeight="false" outlineLevel="0" collapsed="false">
      <c r="A1048531" s="1" t="s">
        <v>3674</v>
      </c>
      <c r="B1048531" s="1" t="s">
        <v>3675</v>
      </c>
      <c r="C1048531" s="1" t="n">
        <v>200</v>
      </c>
      <c r="D1048531" s="1" t="s">
        <v>3676</v>
      </c>
      <c r="E1048531" s="1" t="s">
        <v>3176</v>
      </c>
      <c r="F1048531" s="1" t="s">
        <v>3644</v>
      </c>
      <c r="G1048531" s="1" t="s">
        <v>3645</v>
      </c>
    </row>
    <row r="1048532" customFormat="false" ht="12.8" hidden="false" customHeight="false" outlineLevel="0" collapsed="false">
      <c r="A1048532" s="1" t="s">
        <v>3674</v>
      </c>
      <c r="B1048532" s="1" t="s">
        <v>3675</v>
      </c>
      <c r="C1048532" s="1" t="n">
        <v>200</v>
      </c>
      <c r="D1048532" s="1" t="s">
        <v>3676</v>
      </c>
      <c r="E1048532" s="1" t="s">
        <v>3176</v>
      </c>
      <c r="F1048532" s="1" t="s">
        <v>3646</v>
      </c>
      <c r="G1048532" s="1" t="s">
        <v>3677</v>
      </c>
    </row>
    <row r="1048533" customFormat="false" ht="12.8" hidden="false" customHeight="false" outlineLevel="0" collapsed="false">
      <c r="A1048533" s="1" t="s">
        <v>3674</v>
      </c>
      <c r="B1048533" s="1" t="s">
        <v>3675</v>
      </c>
      <c r="C1048533" s="1" t="n">
        <v>200</v>
      </c>
      <c r="D1048533" s="1" t="s">
        <v>3676</v>
      </c>
      <c r="E1048533" s="1" t="s">
        <v>3176</v>
      </c>
      <c r="F1048533" s="1" t="s">
        <v>3648</v>
      </c>
      <c r="G1048533" s="1" t="s">
        <v>3594</v>
      </c>
    </row>
    <row r="1048534" customFormat="false" ht="12.8" hidden="false" customHeight="false" outlineLevel="0" collapsed="false">
      <c r="A1048534" s="1" t="s">
        <v>3674</v>
      </c>
      <c r="B1048534" s="1" t="s">
        <v>3675</v>
      </c>
      <c r="C1048534" s="1" t="n">
        <v>200</v>
      </c>
      <c r="D1048534" s="1" t="s">
        <v>3676</v>
      </c>
      <c r="E1048534" s="1" t="s">
        <v>3176</v>
      </c>
      <c r="F1048534" s="1" t="s">
        <v>3649</v>
      </c>
      <c r="G1048534" s="1" t="s">
        <v>3650</v>
      </c>
    </row>
    <row r="1048535" customFormat="false" ht="12.8" hidden="false" customHeight="false" outlineLevel="0" collapsed="false">
      <c r="A1048535" s="1" t="s">
        <v>3674</v>
      </c>
      <c r="B1048535" s="1" t="s">
        <v>3675</v>
      </c>
      <c r="C1048535" s="1" t="n">
        <v>200</v>
      </c>
      <c r="D1048535" s="1" t="s">
        <v>3676</v>
      </c>
      <c r="E1048535" s="1" t="s">
        <v>3176</v>
      </c>
      <c r="F1048535" s="1" t="s">
        <v>3651</v>
      </c>
      <c r="G1048535" s="1" t="n">
        <v>100</v>
      </c>
    </row>
    <row r="1048536" customFormat="false" ht="12.8" hidden="false" customHeight="false" outlineLevel="0" collapsed="false">
      <c r="A1048536" s="1" t="s">
        <v>3674</v>
      </c>
      <c r="B1048536" s="1" t="s">
        <v>3675</v>
      </c>
      <c r="C1048536" s="1" t="n">
        <v>200</v>
      </c>
      <c r="D1048536" s="1" t="s">
        <v>3676</v>
      </c>
      <c r="E1048536" s="1" t="s">
        <v>3176</v>
      </c>
      <c r="F1048536" s="1" t="s">
        <v>3652</v>
      </c>
      <c r="G1048536" s="1" t="n">
        <v>100</v>
      </c>
    </row>
    <row r="1048537" customFormat="false" ht="12.8" hidden="false" customHeight="false" outlineLevel="0" collapsed="false">
      <c r="A1048537" s="1" t="s">
        <v>3674</v>
      </c>
      <c r="B1048537" s="1" t="s">
        <v>3675</v>
      </c>
      <c r="C1048537" s="1" t="n">
        <v>200</v>
      </c>
      <c r="D1048537" s="1" t="s">
        <v>3676</v>
      </c>
      <c r="E1048537" s="1" t="s">
        <v>3176</v>
      </c>
      <c r="F1048537" s="1" t="s">
        <v>3653</v>
      </c>
      <c r="G1048537" s="1" t="n">
        <v>1000</v>
      </c>
    </row>
    <row r="1048538" customFormat="false" ht="12.8" hidden="false" customHeight="false" outlineLevel="0" collapsed="false">
      <c r="A1048538" s="1" t="s">
        <v>3674</v>
      </c>
      <c r="B1048538" s="1" t="s">
        <v>3675</v>
      </c>
      <c r="C1048538" s="1" t="n">
        <v>200</v>
      </c>
      <c r="D1048538" s="1" t="s">
        <v>3676</v>
      </c>
      <c r="E1048538" s="1" t="s">
        <v>3176</v>
      </c>
      <c r="F1048538" s="1" t="s">
        <v>3678</v>
      </c>
      <c r="G1048538" s="1" t="s">
        <v>3679</v>
      </c>
    </row>
    <row r="1048539" customFormat="false" ht="12.8" hidden="false" customHeight="false" outlineLevel="0" collapsed="false">
      <c r="A1048539" s="1" t="s">
        <v>3674</v>
      </c>
      <c r="B1048539" s="1" t="s">
        <v>3675</v>
      </c>
      <c r="C1048539" s="1" t="n">
        <v>200</v>
      </c>
      <c r="D1048539" s="1" t="s">
        <v>3676</v>
      </c>
      <c r="E1048539" s="1" t="s">
        <v>3176</v>
      </c>
      <c r="F1048539" s="1" t="s">
        <v>3666</v>
      </c>
      <c r="G1048539" s="8" t="s">
        <v>3667</v>
      </c>
    </row>
    <row r="1048540" customFormat="false" ht="12.8" hidden="false" customHeight="false" outlineLevel="0" collapsed="false">
      <c r="A1048540" s="1" t="s">
        <v>3674</v>
      </c>
      <c r="B1048540" s="1" t="s">
        <v>3675</v>
      </c>
      <c r="C1048540" s="1" t="n">
        <v>200</v>
      </c>
      <c r="D1048540" s="1" t="s">
        <v>3676</v>
      </c>
      <c r="E1048540" s="1" t="s">
        <v>3176</v>
      </c>
      <c r="F1048540" s="1" t="s">
        <v>3668</v>
      </c>
      <c r="G1048540" s="8" t="s">
        <v>3516</v>
      </c>
    </row>
    <row r="1048541" customFormat="false" ht="12.8" hidden="false" customHeight="false" outlineLevel="0" collapsed="false">
      <c r="A1048541" s="1" t="s">
        <v>3674</v>
      </c>
      <c r="B1048541" s="1" t="s">
        <v>3675</v>
      </c>
      <c r="C1048541" s="1" t="n">
        <v>200</v>
      </c>
      <c r="D1048541" s="1" t="s">
        <v>3676</v>
      </c>
      <c r="E1048541" s="1" t="s">
        <v>3176</v>
      </c>
      <c r="F1048541" s="1" t="s">
        <v>3669</v>
      </c>
      <c r="G1048541" s="8" t="s">
        <v>3516</v>
      </c>
    </row>
    <row r="1048542" customFormat="false" ht="12.8" hidden="false" customHeight="false" outlineLevel="0" collapsed="false">
      <c r="A1048542" s="1" t="s">
        <v>3674</v>
      </c>
      <c r="B1048542" s="1" t="s">
        <v>3675</v>
      </c>
      <c r="C1048542" s="1" t="n">
        <v>200</v>
      </c>
      <c r="D1048542" s="1" t="s">
        <v>3676</v>
      </c>
      <c r="E1048542" s="1" t="s">
        <v>3176</v>
      </c>
      <c r="F1048542" s="1" t="s">
        <v>3670</v>
      </c>
      <c r="G1048542" s="1" t="s">
        <v>3671</v>
      </c>
    </row>
    <row r="1048543" customFormat="false" ht="12.8" hidden="false" customHeight="false" outlineLevel="0" collapsed="false">
      <c r="A1048543" s="1" t="s">
        <v>3674</v>
      </c>
      <c r="B1048543" s="1" t="s">
        <v>3675</v>
      </c>
      <c r="C1048543" s="1" t="n">
        <v>200</v>
      </c>
      <c r="D1048543" s="1" t="s">
        <v>3676</v>
      </c>
      <c r="E1048543" s="1" t="s">
        <v>3176</v>
      </c>
      <c r="F1048543" s="1" t="s">
        <v>3672</v>
      </c>
      <c r="G1048543" s="1" t="s">
        <v>3671</v>
      </c>
    </row>
    <row r="1048544" customFormat="false" ht="12.8" hidden="false" customHeight="false" outlineLevel="0" collapsed="false">
      <c r="A1048544" s="1" t="s">
        <v>3674</v>
      </c>
      <c r="B1048544" s="1" t="s">
        <v>3675</v>
      </c>
      <c r="C1048544" s="1" t="n">
        <v>200</v>
      </c>
      <c r="D1048544" s="1" t="s">
        <v>3676</v>
      </c>
      <c r="E1048544" s="1" t="s">
        <v>3176</v>
      </c>
      <c r="F1048544" s="1" t="s">
        <v>3673</v>
      </c>
      <c r="G1048544" s="8" t="s">
        <v>3667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46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3154</v>
      </c>
      <c r="B1" s="2" t="s">
        <v>3155</v>
      </c>
      <c r="C1" s="2" t="s">
        <v>3156</v>
      </c>
      <c r="D1" s="2" t="s">
        <v>3149</v>
      </c>
      <c r="E1" s="2" t="s">
        <v>3157</v>
      </c>
      <c r="F1" s="2" t="s">
        <v>3158</v>
      </c>
      <c r="G1" s="2" t="s">
        <v>3159</v>
      </c>
    </row>
    <row r="2" customFormat="false" ht="12.8" hidden="false" customHeight="false" outlineLevel="0" collapsed="false">
      <c r="A2" s="1" t="s">
        <v>3680</v>
      </c>
      <c r="B2" s="1" t="s">
        <v>3681</v>
      </c>
      <c r="C2" s="1" t="n">
        <v>200</v>
      </c>
      <c r="D2" s="1" t="s">
        <v>3682</v>
      </c>
      <c r="E2" s="1" t="s">
        <v>3176</v>
      </c>
      <c r="F2" s="1" t="s">
        <v>3506</v>
      </c>
      <c r="G2" s="1" t="s">
        <v>3507</v>
      </c>
    </row>
    <row r="3" customFormat="false" ht="12.8" hidden="false" customHeight="false" outlineLevel="0" collapsed="false">
      <c r="A3" s="1" t="s">
        <v>3680</v>
      </c>
      <c r="B3" s="1" t="s">
        <v>3681</v>
      </c>
      <c r="C3" s="1" t="n">
        <v>200</v>
      </c>
      <c r="D3" s="1" t="s">
        <v>3682</v>
      </c>
      <c r="E3" s="1" t="s">
        <v>3176</v>
      </c>
      <c r="F3" s="1" t="s">
        <v>3508</v>
      </c>
      <c r="G3" s="1" t="s">
        <v>3509</v>
      </c>
    </row>
    <row r="4" customFormat="false" ht="12.8" hidden="false" customHeight="false" outlineLevel="0" collapsed="false">
      <c r="A4" s="1" t="s">
        <v>3680</v>
      </c>
      <c r="B4" s="1" t="s">
        <v>3681</v>
      </c>
      <c r="C4" s="1" t="n">
        <v>200</v>
      </c>
      <c r="D4" s="1" t="s">
        <v>3682</v>
      </c>
      <c r="E4" s="1" t="s">
        <v>3176</v>
      </c>
      <c r="F4" s="1" t="s">
        <v>3510</v>
      </c>
      <c r="G4" s="1" t="s">
        <v>3511</v>
      </c>
    </row>
    <row r="5" customFormat="false" ht="12.8" hidden="false" customHeight="false" outlineLevel="0" collapsed="false">
      <c r="A5" s="1" t="s">
        <v>3680</v>
      </c>
      <c r="B5" s="1" t="s">
        <v>3681</v>
      </c>
      <c r="C5" s="1" t="n">
        <v>200</v>
      </c>
      <c r="D5" s="1" t="s">
        <v>3682</v>
      </c>
      <c r="E5" s="1" t="s">
        <v>3176</v>
      </c>
      <c r="F5" s="1" t="s">
        <v>3512</v>
      </c>
      <c r="G5" s="1" t="s">
        <v>3511</v>
      </c>
    </row>
    <row r="6" customFormat="false" ht="12.8" hidden="false" customHeight="false" outlineLevel="0" collapsed="false">
      <c r="A6" s="1" t="s">
        <v>3680</v>
      </c>
      <c r="B6" s="1" t="s">
        <v>3681</v>
      </c>
      <c r="C6" s="1" t="n">
        <v>200</v>
      </c>
      <c r="D6" s="1" t="s">
        <v>3682</v>
      </c>
      <c r="E6" s="1" t="s">
        <v>3176</v>
      </c>
      <c r="F6" s="1" t="s">
        <v>3513</v>
      </c>
      <c r="G6" s="1" t="s">
        <v>3514</v>
      </c>
    </row>
    <row r="7" customFormat="false" ht="12.8" hidden="false" customHeight="false" outlineLevel="0" collapsed="false">
      <c r="A7" s="1" t="s">
        <v>3680</v>
      </c>
      <c r="B7" s="1" t="s">
        <v>3681</v>
      </c>
      <c r="C7" s="1" t="n">
        <v>200</v>
      </c>
      <c r="D7" s="1" t="s">
        <v>3682</v>
      </c>
      <c r="E7" s="1" t="s">
        <v>3176</v>
      </c>
      <c r="F7" s="1" t="s">
        <v>3515</v>
      </c>
      <c r="G7" s="8" t="s">
        <v>3516</v>
      </c>
    </row>
    <row r="8" customFormat="false" ht="12.8" hidden="false" customHeight="false" outlineLevel="0" collapsed="false">
      <c r="A8" s="1" t="s">
        <v>3680</v>
      </c>
      <c r="B8" s="1" t="s">
        <v>3681</v>
      </c>
      <c r="C8" s="1" t="n">
        <v>200</v>
      </c>
      <c r="D8" s="1" t="s">
        <v>3682</v>
      </c>
      <c r="E8" s="1" t="s">
        <v>3176</v>
      </c>
      <c r="F8" s="1" t="s">
        <v>3517</v>
      </c>
      <c r="G8" s="1" t="n">
        <v>8080</v>
      </c>
    </row>
    <row r="9" customFormat="false" ht="12.8" hidden="false" customHeight="false" outlineLevel="0" collapsed="false">
      <c r="A9" s="1" t="s">
        <v>3680</v>
      </c>
      <c r="B9" s="1" t="s">
        <v>3681</v>
      </c>
      <c r="C9" s="1" t="n">
        <v>200</v>
      </c>
      <c r="D9" s="1" t="s">
        <v>3682</v>
      </c>
      <c r="E9" s="1" t="s">
        <v>3176</v>
      </c>
      <c r="F9" s="1" t="s">
        <v>3518</v>
      </c>
      <c r="G9" s="1" t="s">
        <v>3519</v>
      </c>
    </row>
    <row r="10" customFormat="false" ht="12.8" hidden="false" customHeight="false" outlineLevel="0" collapsed="false">
      <c r="A10" s="1" t="s">
        <v>3680</v>
      </c>
      <c r="B10" s="1" t="s">
        <v>3681</v>
      </c>
      <c r="C10" s="1" t="n">
        <v>200</v>
      </c>
      <c r="D10" s="1" t="s">
        <v>3682</v>
      </c>
      <c r="E10" s="1" t="s">
        <v>3176</v>
      </c>
      <c r="F10" s="1" t="s">
        <v>3520</v>
      </c>
      <c r="G10" s="1" t="s">
        <v>3521</v>
      </c>
    </row>
    <row r="11" customFormat="false" ht="12.8" hidden="false" customHeight="false" outlineLevel="0" collapsed="false">
      <c r="A11" s="1" t="s">
        <v>3680</v>
      </c>
      <c r="B11" s="1" t="s">
        <v>3681</v>
      </c>
      <c r="C11" s="1" t="n">
        <v>200</v>
      </c>
      <c r="D11" s="1" t="s">
        <v>3682</v>
      </c>
      <c r="E11" s="1" t="s">
        <v>3176</v>
      </c>
      <c r="F11" s="1" t="s">
        <v>3522</v>
      </c>
      <c r="G11" s="1" t="n">
        <v>500000</v>
      </c>
    </row>
    <row r="12" customFormat="false" ht="12.8" hidden="false" customHeight="false" outlineLevel="0" collapsed="false">
      <c r="A12" s="1" t="s">
        <v>3680</v>
      </c>
      <c r="B12" s="1" t="s">
        <v>3681</v>
      </c>
      <c r="C12" s="1" t="n">
        <v>200</v>
      </c>
      <c r="D12" s="1" t="s">
        <v>3682</v>
      </c>
      <c r="E12" s="1" t="s">
        <v>3176</v>
      </c>
      <c r="F12" s="1" t="s">
        <v>3523</v>
      </c>
      <c r="G12" s="1" t="s">
        <v>3524</v>
      </c>
    </row>
    <row r="13" customFormat="false" ht="12.8" hidden="false" customHeight="false" outlineLevel="0" collapsed="false">
      <c r="A13" s="1" t="s">
        <v>3680</v>
      </c>
      <c r="B13" s="1" t="s">
        <v>3681</v>
      </c>
      <c r="C13" s="1" t="n">
        <v>200</v>
      </c>
      <c r="D13" s="1" t="s">
        <v>3682</v>
      </c>
      <c r="E13" s="1" t="s">
        <v>3176</v>
      </c>
      <c r="F13" s="1" t="s">
        <v>3525</v>
      </c>
      <c r="G13" s="1" t="s">
        <v>3526</v>
      </c>
    </row>
    <row r="14" customFormat="false" ht="12.8" hidden="false" customHeight="false" outlineLevel="0" collapsed="false">
      <c r="A14" s="1" t="s">
        <v>3680</v>
      </c>
      <c r="B14" s="1" t="s">
        <v>3681</v>
      </c>
      <c r="C14" s="1" t="n">
        <v>200</v>
      </c>
      <c r="D14" s="1" t="s">
        <v>3682</v>
      </c>
      <c r="E14" s="1" t="s">
        <v>3176</v>
      </c>
      <c r="F14" s="1" t="s">
        <v>3527</v>
      </c>
      <c r="G14" s="1" t="s">
        <v>3528</v>
      </c>
    </row>
    <row r="15" customFormat="false" ht="12.8" hidden="false" customHeight="false" outlineLevel="0" collapsed="false">
      <c r="A15" s="1" t="s">
        <v>3680</v>
      </c>
      <c r="B15" s="1" t="s">
        <v>3681</v>
      </c>
      <c r="C15" s="1" t="n">
        <v>200</v>
      </c>
      <c r="D15" s="1" t="s">
        <v>3682</v>
      </c>
      <c r="E15" s="1" t="s">
        <v>3176</v>
      </c>
      <c r="F15" s="1" t="s">
        <v>3529</v>
      </c>
      <c r="G15" s="1" t="s">
        <v>3530</v>
      </c>
    </row>
    <row r="16" customFormat="false" ht="12.8" hidden="false" customHeight="false" outlineLevel="0" collapsed="false">
      <c r="A16" s="1" t="s">
        <v>3680</v>
      </c>
      <c r="B16" s="1" t="s">
        <v>3681</v>
      </c>
      <c r="C16" s="1" t="n">
        <v>200</v>
      </c>
      <c r="D16" s="1" t="s">
        <v>3682</v>
      </c>
      <c r="E16" s="1" t="s">
        <v>3176</v>
      </c>
      <c r="F16" s="1" t="s">
        <v>3531</v>
      </c>
      <c r="G16" s="1" t="s">
        <v>3532</v>
      </c>
    </row>
    <row r="17" customFormat="false" ht="12.8" hidden="false" customHeight="false" outlineLevel="0" collapsed="false">
      <c r="A17" s="1" t="s">
        <v>3680</v>
      </c>
      <c r="B17" s="1" t="s">
        <v>3681</v>
      </c>
      <c r="C17" s="1" t="n">
        <v>200</v>
      </c>
      <c r="D17" s="1" t="s">
        <v>3682</v>
      </c>
      <c r="E17" s="1" t="s">
        <v>3176</v>
      </c>
      <c r="F17" s="1" t="s">
        <v>3533</v>
      </c>
      <c r="G17" s="1" t="s">
        <v>3534</v>
      </c>
    </row>
    <row r="18" customFormat="false" ht="12.8" hidden="false" customHeight="false" outlineLevel="0" collapsed="false">
      <c r="A18" s="1" t="s">
        <v>3680</v>
      </c>
      <c r="B18" s="1" t="s">
        <v>3681</v>
      </c>
      <c r="C18" s="1" t="n">
        <v>200</v>
      </c>
      <c r="D18" s="1" t="s">
        <v>3682</v>
      </c>
      <c r="E18" s="1" t="s">
        <v>3176</v>
      </c>
      <c r="F18" s="1" t="s">
        <v>3535</v>
      </c>
      <c r="G18" s="1" t="s">
        <v>3536</v>
      </c>
    </row>
    <row r="19" customFormat="false" ht="12.8" hidden="false" customHeight="false" outlineLevel="0" collapsed="false">
      <c r="A19" s="1" t="s">
        <v>3680</v>
      </c>
      <c r="B19" s="1" t="s">
        <v>3681</v>
      </c>
      <c r="C19" s="1" t="n">
        <v>200</v>
      </c>
      <c r="D19" s="1" t="s">
        <v>3682</v>
      </c>
      <c r="E19" s="1" t="s">
        <v>3176</v>
      </c>
      <c r="F19" s="1" t="s">
        <v>3537</v>
      </c>
      <c r="G19" s="1" t="s">
        <v>3538</v>
      </c>
    </row>
    <row r="20" customFormat="false" ht="12.8" hidden="false" customHeight="false" outlineLevel="0" collapsed="false">
      <c r="A20" s="1" t="s">
        <v>3680</v>
      </c>
      <c r="B20" s="1" t="s">
        <v>3681</v>
      </c>
      <c r="C20" s="1" t="n">
        <v>200</v>
      </c>
      <c r="D20" s="1" t="s">
        <v>3682</v>
      </c>
      <c r="E20" s="1" t="s">
        <v>3176</v>
      </c>
      <c r="F20" s="1" t="s">
        <v>3539</v>
      </c>
      <c r="G20" s="1" t="s">
        <v>3540</v>
      </c>
    </row>
    <row r="21" customFormat="false" ht="12.8" hidden="false" customHeight="false" outlineLevel="0" collapsed="false">
      <c r="A21" s="1" t="s">
        <v>3680</v>
      </c>
      <c r="B21" s="1" t="s">
        <v>3681</v>
      </c>
      <c r="C21" s="1" t="n">
        <v>200</v>
      </c>
      <c r="D21" s="1" t="s">
        <v>3682</v>
      </c>
      <c r="E21" s="1" t="s">
        <v>3176</v>
      </c>
      <c r="F21" s="1" t="s">
        <v>3541</v>
      </c>
      <c r="G21" s="1" t="s">
        <v>3542</v>
      </c>
    </row>
    <row r="22" customFormat="false" ht="12.8" hidden="false" customHeight="false" outlineLevel="0" collapsed="false">
      <c r="A22" s="1" t="s">
        <v>3680</v>
      </c>
      <c r="B22" s="1" t="s">
        <v>3681</v>
      </c>
      <c r="C22" s="1" t="n">
        <v>200</v>
      </c>
      <c r="D22" s="1" t="s">
        <v>3682</v>
      </c>
      <c r="E22" s="1" t="s">
        <v>3176</v>
      </c>
      <c r="F22" s="1" t="s">
        <v>3543</v>
      </c>
      <c r="G22" s="1" t="s">
        <v>3544</v>
      </c>
    </row>
    <row r="23" customFormat="false" ht="12.8" hidden="false" customHeight="false" outlineLevel="0" collapsed="false">
      <c r="A23" s="1" t="s">
        <v>3680</v>
      </c>
      <c r="B23" s="1" t="s">
        <v>3681</v>
      </c>
      <c r="C23" s="1" t="n">
        <v>200</v>
      </c>
      <c r="D23" s="1" t="s">
        <v>3682</v>
      </c>
      <c r="E23" s="1" t="s">
        <v>3176</v>
      </c>
      <c r="F23" s="1" t="s">
        <v>3545</v>
      </c>
      <c r="G23" s="1" t="s">
        <v>3546</v>
      </c>
    </row>
    <row r="24" customFormat="false" ht="12.8" hidden="false" customHeight="false" outlineLevel="0" collapsed="false">
      <c r="A24" s="1" t="s">
        <v>3680</v>
      </c>
      <c r="B24" s="1" t="s">
        <v>3681</v>
      </c>
      <c r="C24" s="1" t="n">
        <v>200</v>
      </c>
      <c r="D24" s="1" t="s">
        <v>3682</v>
      </c>
      <c r="E24" s="1" t="s">
        <v>3176</v>
      </c>
      <c r="F24" s="1" t="s">
        <v>3547</v>
      </c>
      <c r="G24" s="1" t="s">
        <v>3524</v>
      </c>
    </row>
    <row r="25" customFormat="false" ht="12.8" hidden="false" customHeight="false" outlineLevel="0" collapsed="false">
      <c r="A25" s="1" t="s">
        <v>3680</v>
      </c>
      <c r="B25" s="1" t="s">
        <v>3681</v>
      </c>
      <c r="C25" s="1" t="n">
        <v>200</v>
      </c>
      <c r="D25" s="1" t="s">
        <v>3682</v>
      </c>
      <c r="E25" s="1" t="s">
        <v>3176</v>
      </c>
      <c r="F25" s="1" t="s">
        <v>3548</v>
      </c>
      <c r="G25" s="1" t="s">
        <v>3526</v>
      </c>
    </row>
    <row r="26" customFormat="false" ht="12.8" hidden="false" customHeight="false" outlineLevel="0" collapsed="false">
      <c r="A26" s="1" t="s">
        <v>3680</v>
      </c>
      <c r="B26" s="1" t="s">
        <v>3681</v>
      </c>
      <c r="C26" s="1" t="n">
        <v>200</v>
      </c>
      <c r="D26" s="1" t="s">
        <v>3682</v>
      </c>
      <c r="E26" s="1" t="s">
        <v>3176</v>
      </c>
      <c r="F26" s="1" t="s">
        <v>3549</v>
      </c>
      <c r="G26" s="1" t="s">
        <v>3528</v>
      </c>
    </row>
    <row r="27" customFormat="false" ht="12.8" hidden="false" customHeight="false" outlineLevel="0" collapsed="false">
      <c r="A27" s="1" t="s">
        <v>3680</v>
      </c>
      <c r="B27" s="1" t="s">
        <v>3681</v>
      </c>
      <c r="C27" s="1" t="n">
        <v>200</v>
      </c>
      <c r="D27" s="1" t="s">
        <v>3682</v>
      </c>
      <c r="E27" s="1" t="s">
        <v>3176</v>
      </c>
      <c r="F27" s="1" t="s">
        <v>3550</v>
      </c>
      <c r="G27" s="1" t="s">
        <v>3530</v>
      </c>
    </row>
    <row r="28" customFormat="false" ht="12.8" hidden="false" customHeight="false" outlineLevel="0" collapsed="false">
      <c r="A28" s="1" t="s">
        <v>3680</v>
      </c>
      <c r="B28" s="1" t="s">
        <v>3681</v>
      </c>
      <c r="C28" s="1" t="n">
        <v>200</v>
      </c>
      <c r="D28" s="1" t="s">
        <v>3682</v>
      </c>
      <c r="E28" s="1" t="s">
        <v>3176</v>
      </c>
      <c r="F28" s="1" t="s">
        <v>3551</v>
      </c>
      <c r="G28" s="1" t="s">
        <v>3536</v>
      </c>
    </row>
    <row r="29" customFormat="false" ht="12.8" hidden="false" customHeight="false" outlineLevel="0" collapsed="false">
      <c r="A29" s="1" t="s">
        <v>3680</v>
      </c>
      <c r="B29" s="1" t="s">
        <v>3681</v>
      </c>
      <c r="C29" s="1" t="n">
        <v>200</v>
      </c>
      <c r="D29" s="1" t="s">
        <v>3682</v>
      </c>
      <c r="E29" s="1" t="s">
        <v>3176</v>
      </c>
      <c r="F29" s="1" t="s">
        <v>3552</v>
      </c>
      <c r="G29" s="1" t="s">
        <v>3538</v>
      </c>
    </row>
    <row r="30" customFormat="false" ht="12.8" hidden="false" customHeight="false" outlineLevel="0" collapsed="false">
      <c r="A30" s="1" t="s">
        <v>3680</v>
      </c>
      <c r="B30" s="1" t="s">
        <v>3681</v>
      </c>
      <c r="C30" s="1" t="n">
        <v>200</v>
      </c>
      <c r="D30" s="1" t="s">
        <v>3682</v>
      </c>
      <c r="E30" s="1" t="s">
        <v>3176</v>
      </c>
      <c r="F30" s="1" t="s">
        <v>3553</v>
      </c>
      <c r="G30" s="1" t="s">
        <v>3540</v>
      </c>
    </row>
    <row r="31" customFormat="false" ht="12.8" hidden="false" customHeight="false" outlineLevel="0" collapsed="false">
      <c r="A31" s="1" t="s">
        <v>3680</v>
      </c>
      <c r="B31" s="1" t="s">
        <v>3681</v>
      </c>
      <c r="C31" s="1" t="n">
        <v>200</v>
      </c>
      <c r="D31" s="1" t="s">
        <v>3682</v>
      </c>
      <c r="E31" s="1" t="s">
        <v>3176</v>
      </c>
      <c r="F31" s="1" t="s">
        <v>3554</v>
      </c>
      <c r="G31" s="1" t="s">
        <v>3542</v>
      </c>
    </row>
    <row r="32" customFormat="false" ht="12.8" hidden="false" customHeight="false" outlineLevel="0" collapsed="false">
      <c r="A32" s="1" t="s">
        <v>3680</v>
      </c>
      <c r="B32" s="1" t="s">
        <v>3681</v>
      </c>
      <c r="C32" s="1" t="n">
        <v>200</v>
      </c>
      <c r="D32" s="1" t="s">
        <v>3682</v>
      </c>
      <c r="E32" s="1" t="s">
        <v>3176</v>
      </c>
      <c r="F32" s="1" t="s">
        <v>3555</v>
      </c>
      <c r="G32" s="1" t="s">
        <v>3544</v>
      </c>
    </row>
    <row r="33" customFormat="false" ht="12.8" hidden="false" customHeight="false" outlineLevel="0" collapsed="false">
      <c r="A33" s="1" t="s">
        <v>3680</v>
      </c>
      <c r="B33" s="1" t="s">
        <v>3681</v>
      </c>
      <c r="C33" s="1" t="n">
        <v>200</v>
      </c>
      <c r="D33" s="1" t="s">
        <v>3682</v>
      </c>
      <c r="E33" s="1" t="s">
        <v>3176</v>
      </c>
      <c r="F33" s="1" t="s">
        <v>3556</v>
      </c>
      <c r="G33" s="1" t="s">
        <v>3546</v>
      </c>
    </row>
    <row r="34" customFormat="false" ht="12.8" hidden="false" customHeight="false" outlineLevel="0" collapsed="false">
      <c r="A34" s="1" t="s">
        <v>3680</v>
      </c>
      <c r="B34" s="1" t="s">
        <v>3681</v>
      </c>
      <c r="C34" s="1" t="n">
        <v>200</v>
      </c>
      <c r="D34" s="1" t="s">
        <v>3682</v>
      </c>
      <c r="E34" s="1" t="s">
        <v>3176</v>
      </c>
      <c r="F34" s="1" t="s">
        <v>3557</v>
      </c>
      <c r="G34" s="1" t="s">
        <v>3254</v>
      </c>
    </row>
    <row r="35" customFormat="false" ht="12.8" hidden="false" customHeight="false" outlineLevel="0" collapsed="false">
      <c r="A35" s="1" t="s">
        <v>3680</v>
      </c>
      <c r="B35" s="1" t="s">
        <v>3681</v>
      </c>
      <c r="C35" s="1" t="n">
        <v>200</v>
      </c>
      <c r="D35" s="1" t="s">
        <v>3682</v>
      </c>
      <c r="E35" s="1" t="s">
        <v>3176</v>
      </c>
      <c r="F35" s="1" t="s">
        <v>3558</v>
      </c>
      <c r="G35" s="1" t="s">
        <v>3559</v>
      </c>
    </row>
    <row r="36" customFormat="false" ht="12.8" hidden="false" customHeight="false" outlineLevel="0" collapsed="false">
      <c r="A36" s="1" t="s">
        <v>3680</v>
      </c>
      <c r="B36" s="1" t="s">
        <v>3681</v>
      </c>
      <c r="C36" s="1" t="n">
        <v>200</v>
      </c>
      <c r="D36" s="1" t="s">
        <v>3682</v>
      </c>
      <c r="E36" s="1" t="s">
        <v>3176</v>
      </c>
      <c r="F36" s="1" t="s">
        <v>3560</v>
      </c>
      <c r="G36" s="1" t="s">
        <v>3561</v>
      </c>
    </row>
    <row r="37" customFormat="false" ht="12.8" hidden="false" customHeight="false" outlineLevel="0" collapsed="false">
      <c r="A37" s="1" t="s">
        <v>3680</v>
      </c>
      <c r="B37" s="1" t="s">
        <v>3681</v>
      </c>
      <c r="C37" s="1" t="n">
        <v>200</v>
      </c>
      <c r="D37" s="1" t="s">
        <v>3682</v>
      </c>
      <c r="E37" s="1" t="s">
        <v>3176</v>
      </c>
      <c r="F37" s="1" t="s">
        <v>3562</v>
      </c>
      <c r="G37" s="1" t="s">
        <v>3563</v>
      </c>
    </row>
    <row r="38" customFormat="false" ht="12.8" hidden="false" customHeight="false" outlineLevel="0" collapsed="false">
      <c r="A38" s="1" t="s">
        <v>3680</v>
      </c>
      <c r="B38" s="1" t="s">
        <v>3681</v>
      </c>
      <c r="C38" s="1" t="n">
        <v>200</v>
      </c>
      <c r="D38" s="1" t="s">
        <v>3682</v>
      </c>
      <c r="E38" s="1" t="s">
        <v>3176</v>
      </c>
      <c r="F38" s="1" t="s">
        <v>3564</v>
      </c>
      <c r="G38" s="1" t="s">
        <v>3683</v>
      </c>
    </row>
    <row r="39" customFormat="false" ht="12.8" hidden="false" customHeight="false" outlineLevel="0" collapsed="false">
      <c r="A39" s="1" t="s">
        <v>3680</v>
      </c>
      <c r="B39" s="1" t="s">
        <v>3681</v>
      </c>
      <c r="C39" s="1" t="n">
        <v>200</v>
      </c>
      <c r="D39" s="1" t="s">
        <v>3682</v>
      </c>
      <c r="E39" s="1" t="s">
        <v>3176</v>
      </c>
      <c r="F39" s="1" t="s">
        <v>3566</v>
      </c>
      <c r="G39" s="8" t="s">
        <v>3516</v>
      </c>
    </row>
    <row r="40" customFormat="false" ht="12.8" hidden="false" customHeight="false" outlineLevel="0" collapsed="false">
      <c r="A40" s="1" t="s">
        <v>3680</v>
      </c>
      <c r="B40" s="1" t="s">
        <v>3681</v>
      </c>
      <c r="C40" s="1" t="n">
        <v>200</v>
      </c>
      <c r="D40" s="1" t="s">
        <v>3682</v>
      </c>
      <c r="E40" s="1" t="s">
        <v>3176</v>
      </c>
      <c r="F40" s="1" t="s">
        <v>3567</v>
      </c>
      <c r="G40" s="1" t="s">
        <v>3568</v>
      </c>
    </row>
    <row r="41" customFormat="false" ht="12.8" hidden="false" customHeight="false" outlineLevel="0" collapsed="false">
      <c r="A41" s="1" t="s">
        <v>3680</v>
      </c>
      <c r="B41" s="1" t="s">
        <v>3681</v>
      </c>
      <c r="C41" s="1" t="n">
        <v>200</v>
      </c>
      <c r="D41" s="1" t="s">
        <v>3682</v>
      </c>
      <c r="E41" s="1" t="s">
        <v>3176</v>
      </c>
      <c r="F41" s="1" t="s">
        <v>3569</v>
      </c>
      <c r="G41" s="1" t="s">
        <v>3570</v>
      </c>
    </row>
    <row r="42" customFormat="false" ht="12.8" hidden="false" customHeight="false" outlineLevel="0" collapsed="false">
      <c r="A42" s="1" t="s">
        <v>3680</v>
      </c>
      <c r="B42" s="1" t="s">
        <v>3681</v>
      </c>
      <c r="C42" s="1" t="n">
        <v>200</v>
      </c>
      <c r="D42" s="1" t="s">
        <v>3682</v>
      </c>
      <c r="E42" s="1" t="s">
        <v>3176</v>
      </c>
      <c r="F42" s="1" t="s">
        <v>3571</v>
      </c>
      <c r="G42" s="1" t="s">
        <v>3572</v>
      </c>
    </row>
    <row r="43" customFormat="false" ht="12.8" hidden="false" customHeight="false" outlineLevel="0" collapsed="false">
      <c r="A43" s="1" t="s">
        <v>3680</v>
      </c>
      <c r="B43" s="1" t="s">
        <v>3681</v>
      </c>
      <c r="C43" s="1" t="n">
        <v>200</v>
      </c>
      <c r="D43" s="1" t="s">
        <v>3682</v>
      </c>
      <c r="E43" s="1" t="s">
        <v>3176</v>
      </c>
      <c r="F43" s="1" t="s">
        <v>3573</v>
      </c>
      <c r="G43" s="8" t="s">
        <v>3516</v>
      </c>
    </row>
    <row r="44" customFormat="false" ht="12.8" hidden="false" customHeight="false" outlineLevel="0" collapsed="false">
      <c r="A44" s="1" t="s">
        <v>3680</v>
      </c>
      <c r="B44" s="1" t="s">
        <v>3681</v>
      </c>
      <c r="C44" s="1" t="n">
        <v>200</v>
      </c>
      <c r="D44" s="1" t="s">
        <v>3682</v>
      </c>
      <c r="E44" s="1" t="s">
        <v>3176</v>
      </c>
      <c r="F44" s="1" t="s">
        <v>3574</v>
      </c>
      <c r="G44" s="1" t="s">
        <v>3575</v>
      </c>
    </row>
    <row r="45" customFormat="false" ht="12.8" hidden="false" customHeight="false" outlineLevel="0" collapsed="false">
      <c r="A45" s="1" t="s">
        <v>3680</v>
      </c>
      <c r="B45" s="1" t="s">
        <v>3681</v>
      </c>
      <c r="C45" s="1" t="n">
        <v>200</v>
      </c>
      <c r="D45" s="1" t="s">
        <v>3682</v>
      </c>
      <c r="E45" s="1" t="s">
        <v>3176</v>
      </c>
      <c r="F45" s="1" t="s">
        <v>3576</v>
      </c>
      <c r="G45" s="8" t="s">
        <v>3516</v>
      </c>
    </row>
    <row r="46" customFormat="false" ht="12.8" hidden="false" customHeight="false" outlineLevel="0" collapsed="false">
      <c r="A46" s="1" t="s">
        <v>3680</v>
      </c>
      <c r="B46" s="1" t="s">
        <v>3681</v>
      </c>
      <c r="C46" s="1" t="n">
        <v>200</v>
      </c>
      <c r="D46" s="1" t="s">
        <v>3682</v>
      </c>
      <c r="E46" s="1" t="s">
        <v>3176</v>
      </c>
      <c r="F46" s="1" t="s">
        <v>3577</v>
      </c>
      <c r="G46" s="8" t="s">
        <v>3516</v>
      </c>
    </row>
    <row r="47" customFormat="false" ht="12.8" hidden="false" customHeight="false" outlineLevel="0" collapsed="false">
      <c r="A47" s="1" t="s">
        <v>3680</v>
      </c>
      <c r="B47" s="1" t="s">
        <v>3681</v>
      </c>
      <c r="C47" s="1" t="n">
        <v>200</v>
      </c>
      <c r="D47" s="1" t="s">
        <v>3682</v>
      </c>
      <c r="E47" s="1" t="s">
        <v>3176</v>
      </c>
      <c r="F47" s="1" t="s">
        <v>3318</v>
      </c>
      <c r="G47" s="1" t="s">
        <v>3578</v>
      </c>
    </row>
    <row r="48" customFormat="false" ht="12.8" hidden="false" customHeight="false" outlineLevel="0" collapsed="false">
      <c r="A48" s="1" t="s">
        <v>3680</v>
      </c>
      <c r="B48" s="1" t="s">
        <v>3681</v>
      </c>
      <c r="C48" s="1" t="n">
        <v>200</v>
      </c>
      <c r="D48" s="1" t="s">
        <v>3682</v>
      </c>
      <c r="E48" s="1" t="s">
        <v>3176</v>
      </c>
      <c r="F48" s="1" t="s">
        <v>3436</v>
      </c>
      <c r="G48" s="1" t="s">
        <v>3244</v>
      </c>
    </row>
    <row r="49" customFormat="false" ht="12.8" hidden="false" customHeight="false" outlineLevel="0" collapsed="false">
      <c r="A49" s="1" t="s">
        <v>3680</v>
      </c>
      <c r="B49" s="1" t="s">
        <v>3681</v>
      </c>
      <c r="C49" s="1" t="n">
        <v>200</v>
      </c>
      <c r="D49" s="1" t="s">
        <v>3682</v>
      </c>
      <c r="E49" s="1" t="s">
        <v>3176</v>
      </c>
      <c r="F49" s="1" t="s">
        <v>3579</v>
      </c>
      <c r="G49" s="1" t="s">
        <v>3580</v>
      </c>
    </row>
    <row r="50" customFormat="false" ht="12.8" hidden="false" customHeight="false" outlineLevel="0" collapsed="false">
      <c r="A50" s="1" t="s">
        <v>3680</v>
      </c>
      <c r="B50" s="1" t="s">
        <v>3681</v>
      </c>
      <c r="C50" s="1" t="n">
        <v>200</v>
      </c>
      <c r="D50" s="1" t="s">
        <v>3682</v>
      </c>
      <c r="E50" s="1" t="s">
        <v>3176</v>
      </c>
      <c r="F50" s="1" t="s">
        <v>3684</v>
      </c>
      <c r="G50" s="1" t="s">
        <v>3685</v>
      </c>
    </row>
    <row r="51" customFormat="false" ht="12.8" hidden="false" customHeight="false" outlineLevel="0" collapsed="false">
      <c r="A51" s="1" t="s">
        <v>3680</v>
      </c>
      <c r="B51" s="1" t="s">
        <v>3681</v>
      </c>
      <c r="C51" s="1" t="n">
        <v>200</v>
      </c>
      <c r="D51" s="1" t="s">
        <v>3682</v>
      </c>
      <c r="E51" s="1" t="s">
        <v>3176</v>
      </c>
      <c r="F51" s="1" t="s">
        <v>3591</v>
      </c>
      <c r="G51" s="1" t="s">
        <v>3592</v>
      </c>
    </row>
    <row r="52" customFormat="false" ht="12.8" hidden="false" customHeight="false" outlineLevel="0" collapsed="false">
      <c r="A52" s="1" t="s">
        <v>3680</v>
      </c>
      <c r="B52" s="1" t="s">
        <v>3681</v>
      </c>
      <c r="C52" s="1" t="n">
        <v>200</v>
      </c>
      <c r="D52" s="1" t="s">
        <v>3682</v>
      </c>
      <c r="E52" s="1" t="s">
        <v>3176</v>
      </c>
      <c r="F52" s="1" t="s">
        <v>3593</v>
      </c>
      <c r="G52" s="1" t="s">
        <v>3594</v>
      </c>
    </row>
    <row r="53" customFormat="false" ht="12.8" hidden="false" customHeight="false" outlineLevel="0" collapsed="false">
      <c r="A53" s="1" t="s">
        <v>3680</v>
      </c>
      <c r="B53" s="1" t="s">
        <v>3681</v>
      </c>
      <c r="C53" s="1" t="n">
        <v>200</v>
      </c>
      <c r="D53" s="1" t="s">
        <v>3682</v>
      </c>
      <c r="E53" s="1" t="s">
        <v>3176</v>
      </c>
      <c r="F53" s="1" t="s">
        <v>3595</v>
      </c>
      <c r="G53" s="1" t="s">
        <v>3596</v>
      </c>
    </row>
    <row r="54" customFormat="false" ht="12.8" hidden="false" customHeight="false" outlineLevel="0" collapsed="false">
      <c r="A54" s="1" t="s">
        <v>3680</v>
      </c>
      <c r="B54" s="1" t="s">
        <v>3681</v>
      </c>
      <c r="C54" s="1" t="n">
        <v>200</v>
      </c>
      <c r="D54" s="1" t="s">
        <v>3682</v>
      </c>
      <c r="E54" s="1" t="s">
        <v>3176</v>
      </c>
      <c r="F54" s="1" t="s">
        <v>3597</v>
      </c>
      <c r="G54" s="1" t="n">
        <v>5000</v>
      </c>
    </row>
    <row r="55" customFormat="false" ht="12.8" hidden="false" customHeight="false" outlineLevel="0" collapsed="false">
      <c r="A55" s="1" t="s">
        <v>3680</v>
      </c>
      <c r="B55" s="1" t="s">
        <v>3681</v>
      </c>
      <c r="C55" s="1" t="n">
        <v>200</v>
      </c>
      <c r="D55" s="1" t="s">
        <v>3682</v>
      </c>
      <c r="E55" s="1" t="s">
        <v>3176</v>
      </c>
      <c r="F55" s="1" t="s">
        <v>3598</v>
      </c>
      <c r="G55" s="1" t="s">
        <v>3599</v>
      </c>
    </row>
    <row r="56" customFormat="false" ht="12.8" hidden="false" customHeight="false" outlineLevel="0" collapsed="false">
      <c r="A56" s="1" t="s">
        <v>3680</v>
      </c>
      <c r="B56" s="1" t="s">
        <v>3681</v>
      </c>
      <c r="C56" s="1" t="n">
        <v>200</v>
      </c>
      <c r="D56" s="1" t="s">
        <v>3682</v>
      </c>
      <c r="E56" s="1" t="s">
        <v>3176</v>
      </c>
      <c r="F56" s="1" t="s">
        <v>3600</v>
      </c>
      <c r="G56" s="1" t="n">
        <v>64000</v>
      </c>
    </row>
    <row r="57" customFormat="false" ht="12.8" hidden="false" customHeight="false" outlineLevel="0" collapsed="false">
      <c r="A57" s="1" t="s">
        <v>3680</v>
      </c>
      <c r="B57" s="1" t="s">
        <v>3681</v>
      </c>
      <c r="C57" s="1" t="n">
        <v>200</v>
      </c>
      <c r="D57" s="1" t="s">
        <v>3682</v>
      </c>
      <c r="E57" s="1" t="s">
        <v>3176</v>
      </c>
      <c r="F57" s="1" t="s">
        <v>3601</v>
      </c>
      <c r="G57" s="1" t="s">
        <v>3602</v>
      </c>
    </row>
    <row r="58" customFormat="false" ht="12.8" hidden="false" customHeight="false" outlineLevel="0" collapsed="false">
      <c r="A58" s="1" t="s">
        <v>3680</v>
      </c>
      <c r="B58" s="1" t="s">
        <v>3681</v>
      </c>
      <c r="C58" s="1" t="n">
        <v>200</v>
      </c>
      <c r="D58" s="1" t="s">
        <v>3682</v>
      </c>
      <c r="E58" s="1" t="s">
        <v>3176</v>
      </c>
      <c r="F58" s="1" t="s">
        <v>3603</v>
      </c>
      <c r="G58" s="1" t="s">
        <v>3604</v>
      </c>
    </row>
    <row r="59" customFormat="false" ht="12.8" hidden="false" customHeight="false" outlineLevel="0" collapsed="false">
      <c r="A59" s="1" t="s">
        <v>3680</v>
      </c>
      <c r="B59" s="1" t="s">
        <v>3681</v>
      </c>
      <c r="C59" s="1" t="n">
        <v>200</v>
      </c>
      <c r="D59" s="1" t="s">
        <v>3682</v>
      </c>
      <c r="E59" s="1" t="s">
        <v>3176</v>
      </c>
      <c r="F59" s="1" t="s">
        <v>3605</v>
      </c>
      <c r="G59" s="1" t="n">
        <v>8080</v>
      </c>
    </row>
    <row r="60" customFormat="false" ht="12.8" hidden="false" customHeight="false" outlineLevel="0" collapsed="false">
      <c r="A60" s="1" t="s">
        <v>3680</v>
      </c>
      <c r="B60" s="1" t="s">
        <v>3681</v>
      </c>
      <c r="C60" s="1" t="n">
        <v>200</v>
      </c>
      <c r="D60" s="1" t="s">
        <v>3682</v>
      </c>
      <c r="E60" s="1" t="s">
        <v>3176</v>
      </c>
      <c r="F60" s="1" t="s">
        <v>3606</v>
      </c>
      <c r="G60" s="8" t="s">
        <v>3516</v>
      </c>
    </row>
    <row r="61" customFormat="false" ht="12.8" hidden="false" customHeight="false" outlineLevel="0" collapsed="false">
      <c r="A61" s="1" t="s">
        <v>3680</v>
      </c>
      <c r="B61" s="1" t="s">
        <v>3681</v>
      </c>
      <c r="C61" s="1" t="n">
        <v>200</v>
      </c>
      <c r="D61" s="1" t="s">
        <v>3682</v>
      </c>
      <c r="E61" s="1" t="s">
        <v>3176</v>
      </c>
      <c r="F61" s="1" t="s">
        <v>3607</v>
      </c>
      <c r="G61" s="1" t="n">
        <v>200</v>
      </c>
    </row>
    <row r="62" customFormat="false" ht="12.8" hidden="false" customHeight="false" outlineLevel="0" collapsed="false">
      <c r="A62" s="1" t="s">
        <v>3680</v>
      </c>
      <c r="B62" s="1" t="s">
        <v>3681</v>
      </c>
      <c r="C62" s="1" t="n">
        <v>200</v>
      </c>
      <c r="D62" s="1" t="s">
        <v>3682</v>
      </c>
      <c r="E62" s="1" t="s">
        <v>3176</v>
      </c>
      <c r="F62" s="1" t="s">
        <v>3608</v>
      </c>
      <c r="G62" s="1" t="n">
        <v>10</v>
      </c>
    </row>
    <row r="63" customFormat="false" ht="12.8" hidden="false" customHeight="false" outlineLevel="0" collapsed="false">
      <c r="A63" s="1" t="s">
        <v>3680</v>
      </c>
      <c r="B63" s="1" t="s">
        <v>3681</v>
      </c>
      <c r="C63" s="1" t="n">
        <v>200</v>
      </c>
      <c r="D63" s="1" t="s">
        <v>3682</v>
      </c>
      <c r="E63" s="1" t="s">
        <v>3176</v>
      </c>
      <c r="F63" s="1" t="s">
        <v>3609</v>
      </c>
      <c r="G63" s="1" t="n">
        <v>1</v>
      </c>
    </row>
    <row r="64" customFormat="false" ht="12.8" hidden="false" customHeight="false" outlineLevel="0" collapsed="false">
      <c r="A64" s="1" t="s">
        <v>3680</v>
      </c>
      <c r="B64" s="1" t="s">
        <v>3681</v>
      </c>
      <c r="C64" s="1" t="n">
        <v>200</v>
      </c>
      <c r="D64" s="1" t="s">
        <v>3682</v>
      </c>
      <c r="E64" s="1" t="s">
        <v>3176</v>
      </c>
      <c r="F64" s="1" t="s">
        <v>3646</v>
      </c>
      <c r="G64" s="1" t="s">
        <v>3647</v>
      </c>
    </row>
    <row r="65" customFormat="false" ht="12.8" hidden="false" customHeight="false" outlineLevel="0" collapsed="false">
      <c r="A65" s="1" t="s">
        <v>3680</v>
      </c>
      <c r="B65" s="1" t="s">
        <v>3681</v>
      </c>
      <c r="C65" s="1" t="n">
        <v>200</v>
      </c>
      <c r="D65" s="1" t="s">
        <v>3682</v>
      </c>
      <c r="E65" s="1" t="s">
        <v>3176</v>
      </c>
      <c r="F65" s="1" t="s">
        <v>3648</v>
      </c>
      <c r="G65" s="1" t="s">
        <v>3594</v>
      </c>
    </row>
    <row r="66" customFormat="false" ht="12.8" hidden="false" customHeight="false" outlineLevel="0" collapsed="false">
      <c r="A66" s="1" t="s">
        <v>3680</v>
      </c>
      <c r="B66" s="1" t="s">
        <v>3681</v>
      </c>
      <c r="C66" s="1" t="n">
        <v>200</v>
      </c>
      <c r="D66" s="1" t="s">
        <v>3682</v>
      </c>
      <c r="E66" s="1" t="s">
        <v>3176</v>
      </c>
      <c r="F66" s="1" t="s">
        <v>3649</v>
      </c>
      <c r="G66" s="1" t="s">
        <v>3650</v>
      </c>
    </row>
    <row r="67" customFormat="false" ht="12.8" hidden="false" customHeight="false" outlineLevel="0" collapsed="false">
      <c r="A67" s="1" t="s">
        <v>3680</v>
      </c>
      <c r="B67" s="1" t="s">
        <v>3681</v>
      </c>
      <c r="C67" s="1" t="n">
        <v>200</v>
      </c>
      <c r="D67" s="1" t="s">
        <v>3682</v>
      </c>
      <c r="E67" s="1" t="s">
        <v>3176</v>
      </c>
      <c r="F67" s="1" t="s">
        <v>3651</v>
      </c>
      <c r="G67" s="1" t="n">
        <v>100</v>
      </c>
    </row>
    <row r="68" customFormat="false" ht="12.8" hidden="false" customHeight="false" outlineLevel="0" collapsed="false">
      <c r="A68" s="1" t="s">
        <v>3680</v>
      </c>
      <c r="B68" s="1" t="s">
        <v>3681</v>
      </c>
      <c r="C68" s="1" t="n">
        <v>200</v>
      </c>
      <c r="D68" s="1" t="s">
        <v>3682</v>
      </c>
      <c r="E68" s="1" t="s">
        <v>3176</v>
      </c>
      <c r="F68" s="1" t="s">
        <v>3652</v>
      </c>
      <c r="G68" s="1" t="n">
        <v>100</v>
      </c>
    </row>
    <row r="69" customFormat="false" ht="12.8" hidden="false" customHeight="false" outlineLevel="0" collapsed="false">
      <c r="A69" s="1" t="s">
        <v>3680</v>
      </c>
      <c r="B69" s="1" t="s">
        <v>3681</v>
      </c>
      <c r="C69" s="1" t="n">
        <v>200</v>
      </c>
      <c r="D69" s="1" t="s">
        <v>3682</v>
      </c>
      <c r="E69" s="1" t="s">
        <v>3176</v>
      </c>
      <c r="F69" s="1" t="s">
        <v>3653</v>
      </c>
      <c r="G69" s="1" t="n">
        <v>1000</v>
      </c>
    </row>
    <row r="70" customFormat="false" ht="12.8" hidden="false" customHeight="false" outlineLevel="0" collapsed="false">
      <c r="A70" s="1" t="s">
        <v>3680</v>
      </c>
      <c r="B70" s="1" t="s">
        <v>3681</v>
      </c>
      <c r="C70" s="1" t="n">
        <v>200</v>
      </c>
      <c r="D70" s="1" t="s">
        <v>3682</v>
      </c>
      <c r="E70" s="1" t="s">
        <v>3176</v>
      </c>
      <c r="F70" s="1" t="s">
        <v>3678</v>
      </c>
      <c r="G70" s="1" t="s">
        <v>3679</v>
      </c>
    </row>
    <row r="71" customFormat="false" ht="12.8" hidden="false" customHeight="false" outlineLevel="0" collapsed="false">
      <c r="A71" s="1" t="s">
        <v>3680</v>
      </c>
      <c r="B71" s="1" t="s">
        <v>3681</v>
      </c>
      <c r="C71" s="1" t="n">
        <v>200</v>
      </c>
      <c r="D71" s="1" t="s">
        <v>3682</v>
      </c>
      <c r="E71" s="1" t="s">
        <v>3176</v>
      </c>
      <c r="F71" s="1" t="s">
        <v>3666</v>
      </c>
      <c r="G71" s="8" t="s">
        <v>3667</v>
      </c>
    </row>
    <row r="72" customFormat="false" ht="12.8" hidden="false" customHeight="false" outlineLevel="0" collapsed="false">
      <c r="A72" s="1" t="s">
        <v>3680</v>
      </c>
      <c r="B72" s="1" t="s">
        <v>3681</v>
      </c>
      <c r="C72" s="1" t="n">
        <v>200</v>
      </c>
      <c r="D72" s="1" t="s">
        <v>3682</v>
      </c>
      <c r="E72" s="1" t="s">
        <v>3176</v>
      </c>
      <c r="F72" s="1" t="s">
        <v>3668</v>
      </c>
      <c r="G72" s="8" t="s">
        <v>3516</v>
      </c>
    </row>
    <row r="73" customFormat="false" ht="12.8" hidden="false" customHeight="false" outlineLevel="0" collapsed="false">
      <c r="A73" s="1" t="s">
        <v>3680</v>
      </c>
      <c r="B73" s="1" t="s">
        <v>3681</v>
      </c>
      <c r="C73" s="1" t="n">
        <v>200</v>
      </c>
      <c r="D73" s="1" t="s">
        <v>3682</v>
      </c>
      <c r="E73" s="1" t="s">
        <v>3176</v>
      </c>
      <c r="F73" s="1" t="s">
        <v>3669</v>
      </c>
      <c r="G73" s="8" t="s">
        <v>3516</v>
      </c>
    </row>
    <row r="74" customFormat="false" ht="12.8" hidden="false" customHeight="false" outlineLevel="0" collapsed="false">
      <c r="A74" s="1" t="s">
        <v>3680</v>
      </c>
      <c r="B74" s="1" t="s">
        <v>3681</v>
      </c>
      <c r="C74" s="1" t="n">
        <v>200</v>
      </c>
      <c r="D74" s="1" t="s">
        <v>3682</v>
      </c>
      <c r="E74" s="1" t="s">
        <v>3176</v>
      </c>
      <c r="F74" s="1" t="s">
        <v>3670</v>
      </c>
      <c r="G74" s="1" t="s">
        <v>3671</v>
      </c>
    </row>
    <row r="75" customFormat="false" ht="12.8" hidden="false" customHeight="false" outlineLevel="0" collapsed="false">
      <c r="A75" s="1" t="s">
        <v>3680</v>
      </c>
      <c r="B75" s="1" t="s">
        <v>3681</v>
      </c>
      <c r="C75" s="1" t="n">
        <v>200</v>
      </c>
      <c r="D75" s="1" t="s">
        <v>3682</v>
      </c>
      <c r="E75" s="1" t="s">
        <v>3176</v>
      </c>
      <c r="F75" s="1" t="s">
        <v>3672</v>
      </c>
      <c r="G75" s="1" t="s">
        <v>3671</v>
      </c>
    </row>
    <row r="76" customFormat="false" ht="12.8" hidden="false" customHeight="false" outlineLevel="0" collapsed="false">
      <c r="A76" s="1" t="s">
        <v>3680</v>
      </c>
      <c r="B76" s="1" t="s">
        <v>3681</v>
      </c>
      <c r="C76" s="1" t="n">
        <v>200</v>
      </c>
      <c r="D76" s="1" t="s">
        <v>3682</v>
      </c>
      <c r="E76" s="1" t="s">
        <v>3176</v>
      </c>
      <c r="F76" s="1" t="s">
        <v>3673</v>
      </c>
      <c r="G76" s="8" t="s">
        <v>3667</v>
      </c>
    </row>
    <row r="1048388" customFormat="false" ht="12.8" hidden="false" customHeight="false" outlineLevel="0" collapsed="false">
      <c r="A1048388" s="2" t="s">
        <v>3154</v>
      </c>
      <c r="B1048388" s="2" t="s">
        <v>3155</v>
      </c>
      <c r="C1048388" s="2" t="s">
        <v>3156</v>
      </c>
      <c r="D1048388" s="2" t="s">
        <v>3149</v>
      </c>
      <c r="E1048388" s="2" t="s">
        <v>3157</v>
      </c>
      <c r="F1048388" s="2" t="s">
        <v>3158</v>
      </c>
      <c r="G1048388" s="2" t="s">
        <v>3159</v>
      </c>
    </row>
    <row r="1048389" customFormat="false" ht="12.8" hidden="false" customHeight="false" outlineLevel="0" collapsed="false">
      <c r="A1048389" s="1" t="s">
        <v>3680</v>
      </c>
      <c r="B1048389" s="1" t="s">
        <v>3681</v>
      </c>
      <c r="C1048389" s="1" t="n">
        <v>200</v>
      </c>
      <c r="D1048389" s="1" t="s">
        <v>3682</v>
      </c>
      <c r="E1048389" s="1" t="s">
        <v>3176</v>
      </c>
      <c r="F1048389" s="1" t="s">
        <v>3506</v>
      </c>
      <c r="G1048389" s="1" t="s">
        <v>3507</v>
      </c>
    </row>
    <row r="1048390" customFormat="false" ht="12.8" hidden="false" customHeight="false" outlineLevel="0" collapsed="false">
      <c r="A1048390" s="1" t="s">
        <v>3680</v>
      </c>
      <c r="B1048390" s="1" t="s">
        <v>3681</v>
      </c>
      <c r="C1048390" s="1" t="n">
        <v>200</v>
      </c>
      <c r="D1048390" s="1" t="s">
        <v>3682</v>
      </c>
      <c r="E1048390" s="1" t="s">
        <v>3176</v>
      </c>
      <c r="F1048390" s="1" t="s">
        <v>3508</v>
      </c>
      <c r="G1048390" s="1" t="s">
        <v>3509</v>
      </c>
    </row>
    <row r="1048391" customFormat="false" ht="12.8" hidden="false" customHeight="false" outlineLevel="0" collapsed="false">
      <c r="A1048391" s="1" t="s">
        <v>3680</v>
      </c>
      <c r="B1048391" s="1" t="s">
        <v>3681</v>
      </c>
      <c r="C1048391" s="1" t="n">
        <v>200</v>
      </c>
      <c r="D1048391" s="1" t="s">
        <v>3682</v>
      </c>
      <c r="E1048391" s="1" t="s">
        <v>3176</v>
      </c>
      <c r="F1048391" s="1" t="s">
        <v>3510</v>
      </c>
      <c r="G1048391" s="1" t="s">
        <v>3511</v>
      </c>
    </row>
    <row r="1048392" customFormat="false" ht="12.8" hidden="false" customHeight="false" outlineLevel="0" collapsed="false">
      <c r="A1048392" s="1" t="s">
        <v>3680</v>
      </c>
      <c r="B1048392" s="1" t="s">
        <v>3681</v>
      </c>
      <c r="C1048392" s="1" t="n">
        <v>200</v>
      </c>
      <c r="D1048392" s="1" t="s">
        <v>3682</v>
      </c>
      <c r="E1048392" s="1" t="s">
        <v>3176</v>
      </c>
      <c r="F1048392" s="1" t="s">
        <v>3512</v>
      </c>
      <c r="G1048392" s="1" t="s">
        <v>3511</v>
      </c>
    </row>
    <row r="1048393" customFormat="false" ht="12.8" hidden="false" customHeight="false" outlineLevel="0" collapsed="false">
      <c r="A1048393" s="1" t="s">
        <v>3680</v>
      </c>
      <c r="B1048393" s="1" t="s">
        <v>3681</v>
      </c>
      <c r="C1048393" s="1" t="n">
        <v>200</v>
      </c>
      <c r="D1048393" s="1" t="s">
        <v>3682</v>
      </c>
      <c r="E1048393" s="1" t="s">
        <v>3176</v>
      </c>
      <c r="F1048393" s="1" t="s">
        <v>3513</v>
      </c>
      <c r="G1048393" s="1" t="s">
        <v>3514</v>
      </c>
    </row>
    <row r="1048394" customFormat="false" ht="12.8" hidden="false" customHeight="false" outlineLevel="0" collapsed="false">
      <c r="A1048394" s="1" t="s">
        <v>3680</v>
      </c>
      <c r="B1048394" s="1" t="s">
        <v>3681</v>
      </c>
      <c r="C1048394" s="1" t="n">
        <v>200</v>
      </c>
      <c r="D1048394" s="1" t="s">
        <v>3682</v>
      </c>
      <c r="E1048394" s="1" t="s">
        <v>3176</v>
      </c>
      <c r="F1048394" s="1" t="s">
        <v>3515</v>
      </c>
      <c r="G1048394" s="8" t="s">
        <v>3516</v>
      </c>
    </row>
    <row r="1048395" customFormat="false" ht="12.8" hidden="false" customHeight="false" outlineLevel="0" collapsed="false">
      <c r="A1048395" s="1" t="s">
        <v>3680</v>
      </c>
      <c r="B1048395" s="1" t="s">
        <v>3681</v>
      </c>
      <c r="C1048395" s="1" t="n">
        <v>200</v>
      </c>
      <c r="D1048395" s="1" t="s">
        <v>3682</v>
      </c>
      <c r="E1048395" s="1" t="s">
        <v>3176</v>
      </c>
      <c r="F1048395" s="1" t="s">
        <v>3517</v>
      </c>
      <c r="G1048395" s="1" t="n">
        <v>8080</v>
      </c>
    </row>
    <row r="1048396" customFormat="false" ht="12.8" hidden="false" customHeight="false" outlineLevel="0" collapsed="false">
      <c r="A1048396" s="1" t="s">
        <v>3680</v>
      </c>
      <c r="B1048396" s="1" t="s">
        <v>3681</v>
      </c>
      <c r="C1048396" s="1" t="n">
        <v>200</v>
      </c>
      <c r="D1048396" s="1" t="s">
        <v>3682</v>
      </c>
      <c r="E1048396" s="1" t="s">
        <v>3176</v>
      </c>
      <c r="F1048396" s="1" t="s">
        <v>3518</v>
      </c>
      <c r="G1048396" s="1" t="s">
        <v>3519</v>
      </c>
    </row>
    <row r="1048397" customFormat="false" ht="12.8" hidden="false" customHeight="false" outlineLevel="0" collapsed="false">
      <c r="A1048397" s="1" t="s">
        <v>3680</v>
      </c>
      <c r="B1048397" s="1" t="s">
        <v>3681</v>
      </c>
      <c r="C1048397" s="1" t="n">
        <v>200</v>
      </c>
      <c r="D1048397" s="1" t="s">
        <v>3682</v>
      </c>
      <c r="E1048397" s="1" t="s">
        <v>3176</v>
      </c>
      <c r="F1048397" s="1" t="s">
        <v>3520</v>
      </c>
      <c r="G1048397" s="1" t="s">
        <v>3521</v>
      </c>
    </row>
    <row r="1048398" customFormat="false" ht="12.8" hidden="false" customHeight="false" outlineLevel="0" collapsed="false">
      <c r="A1048398" s="1" t="s">
        <v>3680</v>
      </c>
      <c r="B1048398" s="1" t="s">
        <v>3681</v>
      </c>
      <c r="C1048398" s="1" t="n">
        <v>200</v>
      </c>
      <c r="D1048398" s="1" t="s">
        <v>3682</v>
      </c>
      <c r="E1048398" s="1" t="s">
        <v>3176</v>
      </c>
      <c r="F1048398" s="1" t="s">
        <v>3522</v>
      </c>
      <c r="G1048398" s="1" t="n">
        <v>500000</v>
      </c>
    </row>
    <row r="1048399" customFormat="false" ht="12.8" hidden="false" customHeight="false" outlineLevel="0" collapsed="false">
      <c r="A1048399" s="1" t="s">
        <v>3680</v>
      </c>
      <c r="B1048399" s="1" t="s">
        <v>3681</v>
      </c>
      <c r="C1048399" s="1" t="n">
        <v>200</v>
      </c>
      <c r="D1048399" s="1" t="s">
        <v>3682</v>
      </c>
      <c r="E1048399" s="1" t="s">
        <v>3176</v>
      </c>
      <c r="F1048399" s="1" t="s">
        <v>3523</v>
      </c>
      <c r="G1048399" s="1" t="s">
        <v>3524</v>
      </c>
    </row>
    <row r="1048400" customFormat="false" ht="12.8" hidden="false" customHeight="false" outlineLevel="0" collapsed="false">
      <c r="A1048400" s="1" t="s">
        <v>3680</v>
      </c>
      <c r="B1048400" s="1" t="s">
        <v>3681</v>
      </c>
      <c r="C1048400" s="1" t="n">
        <v>200</v>
      </c>
      <c r="D1048400" s="1" t="s">
        <v>3682</v>
      </c>
      <c r="E1048400" s="1" t="s">
        <v>3176</v>
      </c>
      <c r="F1048400" s="1" t="s">
        <v>3525</v>
      </c>
      <c r="G1048400" s="1" t="s">
        <v>3526</v>
      </c>
    </row>
    <row r="1048401" customFormat="false" ht="12.8" hidden="false" customHeight="false" outlineLevel="0" collapsed="false">
      <c r="A1048401" s="1" t="s">
        <v>3680</v>
      </c>
      <c r="B1048401" s="1" t="s">
        <v>3681</v>
      </c>
      <c r="C1048401" s="1" t="n">
        <v>200</v>
      </c>
      <c r="D1048401" s="1" t="s">
        <v>3682</v>
      </c>
      <c r="E1048401" s="1" t="s">
        <v>3176</v>
      </c>
      <c r="F1048401" s="1" t="s">
        <v>3527</v>
      </c>
      <c r="G1048401" s="1" t="s">
        <v>3528</v>
      </c>
    </row>
    <row r="1048402" customFormat="false" ht="12.8" hidden="false" customHeight="false" outlineLevel="0" collapsed="false">
      <c r="A1048402" s="1" t="s">
        <v>3680</v>
      </c>
      <c r="B1048402" s="1" t="s">
        <v>3681</v>
      </c>
      <c r="C1048402" s="1" t="n">
        <v>200</v>
      </c>
      <c r="D1048402" s="1" t="s">
        <v>3682</v>
      </c>
      <c r="E1048402" s="1" t="s">
        <v>3176</v>
      </c>
      <c r="F1048402" s="1" t="s">
        <v>3529</v>
      </c>
      <c r="G1048402" s="1" t="s">
        <v>3530</v>
      </c>
    </row>
    <row r="1048403" customFormat="false" ht="12.8" hidden="false" customHeight="false" outlineLevel="0" collapsed="false">
      <c r="A1048403" s="1" t="s">
        <v>3680</v>
      </c>
      <c r="B1048403" s="1" t="s">
        <v>3681</v>
      </c>
      <c r="C1048403" s="1" t="n">
        <v>200</v>
      </c>
      <c r="D1048403" s="1" t="s">
        <v>3682</v>
      </c>
      <c r="E1048403" s="1" t="s">
        <v>3176</v>
      </c>
      <c r="F1048403" s="1" t="s">
        <v>3531</v>
      </c>
      <c r="G1048403" s="1" t="s">
        <v>3532</v>
      </c>
    </row>
    <row r="1048404" customFormat="false" ht="12.8" hidden="false" customHeight="false" outlineLevel="0" collapsed="false">
      <c r="A1048404" s="1" t="s">
        <v>3680</v>
      </c>
      <c r="B1048404" s="1" t="s">
        <v>3681</v>
      </c>
      <c r="C1048404" s="1" t="n">
        <v>200</v>
      </c>
      <c r="D1048404" s="1" t="s">
        <v>3682</v>
      </c>
      <c r="E1048404" s="1" t="s">
        <v>3176</v>
      </c>
      <c r="F1048404" s="1" t="s">
        <v>3533</v>
      </c>
      <c r="G1048404" s="1" t="s">
        <v>3534</v>
      </c>
    </row>
    <row r="1048405" customFormat="false" ht="12.8" hidden="false" customHeight="false" outlineLevel="0" collapsed="false">
      <c r="A1048405" s="1" t="s">
        <v>3680</v>
      </c>
      <c r="B1048405" s="1" t="s">
        <v>3681</v>
      </c>
      <c r="C1048405" s="1" t="n">
        <v>200</v>
      </c>
      <c r="D1048405" s="1" t="s">
        <v>3682</v>
      </c>
      <c r="E1048405" s="1" t="s">
        <v>3176</v>
      </c>
      <c r="F1048405" s="1" t="s">
        <v>3535</v>
      </c>
      <c r="G1048405" s="1" t="s">
        <v>3536</v>
      </c>
    </row>
    <row r="1048406" customFormat="false" ht="12.8" hidden="false" customHeight="false" outlineLevel="0" collapsed="false">
      <c r="A1048406" s="1" t="s">
        <v>3680</v>
      </c>
      <c r="B1048406" s="1" t="s">
        <v>3681</v>
      </c>
      <c r="C1048406" s="1" t="n">
        <v>200</v>
      </c>
      <c r="D1048406" s="1" t="s">
        <v>3682</v>
      </c>
      <c r="E1048406" s="1" t="s">
        <v>3176</v>
      </c>
      <c r="F1048406" s="1" t="s">
        <v>3537</v>
      </c>
      <c r="G1048406" s="1" t="s">
        <v>3538</v>
      </c>
    </row>
    <row r="1048407" customFormat="false" ht="12.8" hidden="false" customHeight="false" outlineLevel="0" collapsed="false">
      <c r="A1048407" s="1" t="s">
        <v>3680</v>
      </c>
      <c r="B1048407" s="1" t="s">
        <v>3681</v>
      </c>
      <c r="C1048407" s="1" t="n">
        <v>200</v>
      </c>
      <c r="D1048407" s="1" t="s">
        <v>3682</v>
      </c>
      <c r="E1048407" s="1" t="s">
        <v>3176</v>
      </c>
      <c r="F1048407" s="1" t="s">
        <v>3539</v>
      </c>
      <c r="G1048407" s="1" t="s">
        <v>3540</v>
      </c>
    </row>
    <row r="1048408" customFormat="false" ht="12.8" hidden="false" customHeight="false" outlineLevel="0" collapsed="false">
      <c r="A1048408" s="1" t="s">
        <v>3680</v>
      </c>
      <c r="B1048408" s="1" t="s">
        <v>3681</v>
      </c>
      <c r="C1048408" s="1" t="n">
        <v>200</v>
      </c>
      <c r="D1048408" s="1" t="s">
        <v>3682</v>
      </c>
      <c r="E1048408" s="1" t="s">
        <v>3176</v>
      </c>
      <c r="F1048408" s="1" t="s">
        <v>3541</v>
      </c>
      <c r="G1048408" s="1" t="s">
        <v>3542</v>
      </c>
    </row>
    <row r="1048409" customFormat="false" ht="12.8" hidden="false" customHeight="false" outlineLevel="0" collapsed="false">
      <c r="A1048409" s="1" t="s">
        <v>3680</v>
      </c>
      <c r="B1048409" s="1" t="s">
        <v>3681</v>
      </c>
      <c r="C1048409" s="1" t="n">
        <v>200</v>
      </c>
      <c r="D1048409" s="1" t="s">
        <v>3682</v>
      </c>
      <c r="E1048409" s="1" t="s">
        <v>3176</v>
      </c>
      <c r="F1048409" s="1" t="s">
        <v>3543</v>
      </c>
      <c r="G1048409" s="1" t="s">
        <v>3544</v>
      </c>
    </row>
    <row r="1048410" customFormat="false" ht="12.8" hidden="false" customHeight="false" outlineLevel="0" collapsed="false">
      <c r="A1048410" s="1" t="s">
        <v>3680</v>
      </c>
      <c r="B1048410" s="1" t="s">
        <v>3681</v>
      </c>
      <c r="C1048410" s="1" t="n">
        <v>200</v>
      </c>
      <c r="D1048410" s="1" t="s">
        <v>3682</v>
      </c>
      <c r="E1048410" s="1" t="s">
        <v>3176</v>
      </c>
      <c r="F1048410" s="1" t="s">
        <v>3545</v>
      </c>
      <c r="G1048410" s="1" t="s">
        <v>3546</v>
      </c>
    </row>
    <row r="1048411" customFormat="false" ht="12.8" hidden="false" customHeight="false" outlineLevel="0" collapsed="false">
      <c r="A1048411" s="1" t="s">
        <v>3680</v>
      </c>
      <c r="B1048411" s="1" t="s">
        <v>3681</v>
      </c>
      <c r="C1048411" s="1" t="n">
        <v>200</v>
      </c>
      <c r="D1048411" s="1" t="s">
        <v>3682</v>
      </c>
      <c r="E1048411" s="1" t="s">
        <v>3176</v>
      </c>
      <c r="F1048411" s="1" t="s">
        <v>3547</v>
      </c>
      <c r="G1048411" s="1" t="s">
        <v>3524</v>
      </c>
    </row>
    <row r="1048412" customFormat="false" ht="12.8" hidden="false" customHeight="false" outlineLevel="0" collapsed="false">
      <c r="A1048412" s="1" t="s">
        <v>3680</v>
      </c>
      <c r="B1048412" s="1" t="s">
        <v>3681</v>
      </c>
      <c r="C1048412" s="1" t="n">
        <v>200</v>
      </c>
      <c r="D1048412" s="1" t="s">
        <v>3682</v>
      </c>
      <c r="E1048412" s="1" t="s">
        <v>3176</v>
      </c>
      <c r="F1048412" s="1" t="s">
        <v>3548</v>
      </c>
      <c r="G1048412" s="1" t="s">
        <v>3526</v>
      </c>
    </row>
    <row r="1048413" customFormat="false" ht="12.8" hidden="false" customHeight="false" outlineLevel="0" collapsed="false">
      <c r="A1048413" s="1" t="s">
        <v>3680</v>
      </c>
      <c r="B1048413" s="1" t="s">
        <v>3681</v>
      </c>
      <c r="C1048413" s="1" t="n">
        <v>200</v>
      </c>
      <c r="D1048413" s="1" t="s">
        <v>3682</v>
      </c>
      <c r="E1048413" s="1" t="s">
        <v>3176</v>
      </c>
      <c r="F1048413" s="1" t="s">
        <v>3549</v>
      </c>
      <c r="G1048413" s="1" t="s">
        <v>3528</v>
      </c>
    </row>
    <row r="1048414" customFormat="false" ht="12.8" hidden="false" customHeight="false" outlineLevel="0" collapsed="false">
      <c r="A1048414" s="1" t="s">
        <v>3680</v>
      </c>
      <c r="B1048414" s="1" t="s">
        <v>3681</v>
      </c>
      <c r="C1048414" s="1" t="n">
        <v>200</v>
      </c>
      <c r="D1048414" s="1" t="s">
        <v>3682</v>
      </c>
      <c r="E1048414" s="1" t="s">
        <v>3176</v>
      </c>
      <c r="F1048414" s="1" t="s">
        <v>3550</v>
      </c>
      <c r="G1048414" s="1" t="s">
        <v>3530</v>
      </c>
    </row>
    <row r="1048415" customFormat="false" ht="12.8" hidden="false" customHeight="false" outlineLevel="0" collapsed="false">
      <c r="A1048415" s="1" t="s">
        <v>3680</v>
      </c>
      <c r="B1048415" s="1" t="s">
        <v>3681</v>
      </c>
      <c r="C1048415" s="1" t="n">
        <v>200</v>
      </c>
      <c r="D1048415" s="1" t="s">
        <v>3682</v>
      </c>
      <c r="E1048415" s="1" t="s">
        <v>3176</v>
      </c>
      <c r="F1048415" s="1" t="s">
        <v>3551</v>
      </c>
      <c r="G1048415" s="1" t="s">
        <v>3536</v>
      </c>
    </row>
    <row r="1048416" customFormat="false" ht="12.8" hidden="false" customHeight="false" outlineLevel="0" collapsed="false">
      <c r="A1048416" s="1" t="s">
        <v>3680</v>
      </c>
      <c r="B1048416" s="1" t="s">
        <v>3681</v>
      </c>
      <c r="C1048416" s="1" t="n">
        <v>200</v>
      </c>
      <c r="D1048416" s="1" t="s">
        <v>3682</v>
      </c>
      <c r="E1048416" s="1" t="s">
        <v>3176</v>
      </c>
      <c r="F1048416" s="1" t="s">
        <v>3552</v>
      </c>
      <c r="G1048416" s="1" t="s">
        <v>3538</v>
      </c>
    </row>
    <row r="1048417" customFormat="false" ht="12.8" hidden="false" customHeight="false" outlineLevel="0" collapsed="false">
      <c r="A1048417" s="1" t="s">
        <v>3680</v>
      </c>
      <c r="B1048417" s="1" t="s">
        <v>3681</v>
      </c>
      <c r="C1048417" s="1" t="n">
        <v>200</v>
      </c>
      <c r="D1048417" s="1" t="s">
        <v>3682</v>
      </c>
      <c r="E1048417" s="1" t="s">
        <v>3176</v>
      </c>
      <c r="F1048417" s="1" t="s">
        <v>3553</v>
      </c>
      <c r="G1048417" s="1" t="s">
        <v>3540</v>
      </c>
    </row>
    <row r="1048418" customFormat="false" ht="12.8" hidden="false" customHeight="false" outlineLevel="0" collapsed="false">
      <c r="A1048418" s="1" t="s">
        <v>3680</v>
      </c>
      <c r="B1048418" s="1" t="s">
        <v>3681</v>
      </c>
      <c r="C1048418" s="1" t="n">
        <v>200</v>
      </c>
      <c r="D1048418" s="1" t="s">
        <v>3682</v>
      </c>
      <c r="E1048418" s="1" t="s">
        <v>3176</v>
      </c>
      <c r="F1048418" s="1" t="s">
        <v>3554</v>
      </c>
      <c r="G1048418" s="1" t="s">
        <v>3542</v>
      </c>
    </row>
    <row r="1048419" customFormat="false" ht="12.8" hidden="false" customHeight="false" outlineLevel="0" collapsed="false">
      <c r="A1048419" s="1" t="s">
        <v>3680</v>
      </c>
      <c r="B1048419" s="1" t="s">
        <v>3681</v>
      </c>
      <c r="C1048419" s="1" t="n">
        <v>200</v>
      </c>
      <c r="D1048419" s="1" t="s">
        <v>3682</v>
      </c>
      <c r="E1048419" s="1" t="s">
        <v>3176</v>
      </c>
      <c r="F1048419" s="1" t="s">
        <v>3555</v>
      </c>
      <c r="G1048419" s="1" t="s">
        <v>3544</v>
      </c>
    </row>
    <row r="1048420" customFormat="false" ht="12.8" hidden="false" customHeight="false" outlineLevel="0" collapsed="false">
      <c r="A1048420" s="1" t="s">
        <v>3680</v>
      </c>
      <c r="B1048420" s="1" t="s">
        <v>3681</v>
      </c>
      <c r="C1048420" s="1" t="n">
        <v>200</v>
      </c>
      <c r="D1048420" s="1" t="s">
        <v>3682</v>
      </c>
      <c r="E1048420" s="1" t="s">
        <v>3176</v>
      </c>
      <c r="F1048420" s="1" t="s">
        <v>3556</v>
      </c>
      <c r="G1048420" s="1" t="s">
        <v>3546</v>
      </c>
    </row>
    <row r="1048421" customFormat="false" ht="12.8" hidden="false" customHeight="false" outlineLevel="0" collapsed="false">
      <c r="A1048421" s="1" t="s">
        <v>3680</v>
      </c>
      <c r="B1048421" s="1" t="s">
        <v>3681</v>
      </c>
      <c r="C1048421" s="1" t="n">
        <v>200</v>
      </c>
      <c r="D1048421" s="1" t="s">
        <v>3682</v>
      </c>
      <c r="E1048421" s="1" t="s">
        <v>3176</v>
      </c>
      <c r="F1048421" s="1" t="s">
        <v>3557</v>
      </c>
      <c r="G1048421" s="1" t="s">
        <v>3254</v>
      </c>
    </row>
    <row r="1048422" customFormat="false" ht="12.8" hidden="false" customHeight="false" outlineLevel="0" collapsed="false">
      <c r="A1048422" s="1" t="s">
        <v>3680</v>
      </c>
      <c r="B1048422" s="1" t="s">
        <v>3681</v>
      </c>
      <c r="C1048422" s="1" t="n">
        <v>200</v>
      </c>
      <c r="D1048422" s="1" t="s">
        <v>3682</v>
      </c>
      <c r="E1048422" s="1" t="s">
        <v>3176</v>
      </c>
      <c r="F1048422" s="1" t="s">
        <v>3558</v>
      </c>
      <c r="G1048422" s="1" t="s">
        <v>3559</v>
      </c>
    </row>
    <row r="1048423" customFormat="false" ht="12.8" hidden="false" customHeight="false" outlineLevel="0" collapsed="false">
      <c r="A1048423" s="1" t="s">
        <v>3680</v>
      </c>
      <c r="B1048423" s="1" t="s">
        <v>3681</v>
      </c>
      <c r="C1048423" s="1" t="n">
        <v>200</v>
      </c>
      <c r="D1048423" s="1" t="s">
        <v>3682</v>
      </c>
      <c r="E1048423" s="1" t="s">
        <v>3176</v>
      </c>
      <c r="F1048423" s="1" t="s">
        <v>3560</v>
      </c>
      <c r="G1048423" s="1" t="s">
        <v>3561</v>
      </c>
    </row>
    <row r="1048424" customFormat="false" ht="12.8" hidden="false" customHeight="false" outlineLevel="0" collapsed="false">
      <c r="A1048424" s="1" t="s">
        <v>3680</v>
      </c>
      <c r="B1048424" s="1" t="s">
        <v>3681</v>
      </c>
      <c r="C1048424" s="1" t="n">
        <v>200</v>
      </c>
      <c r="D1048424" s="1" t="s">
        <v>3682</v>
      </c>
      <c r="E1048424" s="1" t="s">
        <v>3176</v>
      </c>
      <c r="F1048424" s="1" t="s">
        <v>3562</v>
      </c>
      <c r="G1048424" s="1" t="s">
        <v>3563</v>
      </c>
    </row>
    <row r="1048425" customFormat="false" ht="12.8" hidden="false" customHeight="false" outlineLevel="0" collapsed="false">
      <c r="A1048425" s="1" t="s">
        <v>3680</v>
      </c>
      <c r="B1048425" s="1" t="s">
        <v>3681</v>
      </c>
      <c r="C1048425" s="1" t="n">
        <v>200</v>
      </c>
      <c r="D1048425" s="1" t="s">
        <v>3682</v>
      </c>
      <c r="E1048425" s="1" t="s">
        <v>3176</v>
      </c>
      <c r="F1048425" s="1" t="s">
        <v>3564</v>
      </c>
      <c r="G1048425" s="1" t="s">
        <v>3683</v>
      </c>
    </row>
    <row r="1048426" customFormat="false" ht="12.8" hidden="false" customHeight="false" outlineLevel="0" collapsed="false">
      <c r="A1048426" s="1" t="s">
        <v>3680</v>
      </c>
      <c r="B1048426" s="1" t="s">
        <v>3681</v>
      </c>
      <c r="C1048426" s="1" t="n">
        <v>200</v>
      </c>
      <c r="D1048426" s="1" t="s">
        <v>3682</v>
      </c>
      <c r="E1048426" s="1" t="s">
        <v>3176</v>
      </c>
      <c r="F1048426" s="1" t="s">
        <v>3566</v>
      </c>
      <c r="G1048426" s="8" t="s">
        <v>3516</v>
      </c>
    </row>
    <row r="1048427" customFormat="false" ht="12.8" hidden="false" customHeight="false" outlineLevel="0" collapsed="false">
      <c r="A1048427" s="1" t="s">
        <v>3680</v>
      </c>
      <c r="B1048427" s="1" t="s">
        <v>3681</v>
      </c>
      <c r="C1048427" s="1" t="n">
        <v>200</v>
      </c>
      <c r="D1048427" s="1" t="s">
        <v>3682</v>
      </c>
      <c r="E1048427" s="1" t="s">
        <v>3176</v>
      </c>
      <c r="F1048427" s="1" t="s">
        <v>3567</v>
      </c>
      <c r="G1048427" s="1" t="s">
        <v>3568</v>
      </c>
    </row>
    <row r="1048428" customFormat="false" ht="12.8" hidden="false" customHeight="false" outlineLevel="0" collapsed="false">
      <c r="A1048428" s="1" t="s">
        <v>3680</v>
      </c>
      <c r="B1048428" s="1" t="s">
        <v>3681</v>
      </c>
      <c r="C1048428" s="1" t="n">
        <v>200</v>
      </c>
      <c r="D1048428" s="1" t="s">
        <v>3682</v>
      </c>
      <c r="E1048428" s="1" t="s">
        <v>3176</v>
      </c>
      <c r="F1048428" s="1" t="s">
        <v>3569</v>
      </c>
      <c r="G1048428" s="1" t="s">
        <v>3570</v>
      </c>
    </row>
    <row r="1048429" customFormat="false" ht="12.8" hidden="false" customHeight="false" outlineLevel="0" collapsed="false">
      <c r="A1048429" s="1" t="s">
        <v>3680</v>
      </c>
      <c r="B1048429" s="1" t="s">
        <v>3681</v>
      </c>
      <c r="C1048429" s="1" t="n">
        <v>200</v>
      </c>
      <c r="D1048429" s="1" t="s">
        <v>3682</v>
      </c>
      <c r="E1048429" s="1" t="s">
        <v>3176</v>
      </c>
      <c r="F1048429" s="1" t="s">
        <v>3571</v>
      </c>
      <c r="G1048429" s="1" t="s">
        <v>3572</v>
      </c>
    </row>
    <row r="1048430" customFormat="false" ht="12.8" hidden="false" customHeight="false" outlineLevel="0" collapsed="false">
      <c r="A1048430" s="1" t="s">
        <v>3680</v>
      </c>
      <c r="B1048430" s="1" t="s">
        <v>3681</v>
      </c>
      <c r="C1048430" s="1" t="n">
        <v>200</v>
      </c>
      <c r="D1048430" s="1" t="s">
        <v>3682</v>
      </c>
      <c r="E1048430" s="1" t="s">
        <v>3176</v>
      </c>
      <c r="F1048430" s="1" t="s">
        <v>3573</v>
      </c>
      <c r="G1048430" s="8" t="s">
        <v>3516</v>
      </c>
    </row>
    <row r="1048431" customFormat="false" ht="12.8" hidden="false" customHeight="false" outlineLevel="0" collapsed="false">
      <c r="A1048431" s="1" t="s">
        <v>3680</v>
      </c>
      <c r="B1048431" s="1" t="s">
        <v>3681</v>
      </c>
      <c r="C1048431" s="1" t="n">
        <v>200</v>
      </c>
      <c r="D1048431" s="1" t="s">
        <v>3682</v>
      </c>
      <c r="E1048431" s="1" t="s">
        <v>3176</v>
      </c>
      <c r="F1048431" s="1" t="s">
        <v>3574</v>
      </c>
      <c r="G1048431" s="1" t="s">
        <v>3575</v>
      </c>
    </row>
    <row r="1048432" customFormat="false" ht="12.8" hidden="false" customHeight="false" outlineLevel="0" collapsed="false">
      <c r="A1048432" s="1" t="s">
        <v>3680</v>
      </c>
      <c r="B1048432" s="1" t="s">
        <v>3681</v>
      </c>
      <c r="C1048432" s="1" t="n">
        <v>200</v>
      </c>
      <c r="D1048432" s="1" t="s">
        <v>3682</v>
      </c>
      <c r="E1048432" s="1" t="s">
        <v>3176</v>
      </c>
      <c r="F1048432" s="1" t="s">
        <v>3576</v>
      </c>
      <c r="G1048432" s="8" t="s">
        <v>3516</v>
      </c>
    </row>
    <row r="1048433" customFormat="false" ht="12.8" hidden="false" customHeight="false" outlineLevel="0" collapsed="false">
      <c r="A1048433" s="1" t="s">
        <v>3680</v>
      </c>
      <c r="B1048433" s="1" t="s">
        <v>3681</v>
      </c>
      <c r="C1048433" s="1" t="n">
        <v>200</v>
      </c>
      <c r="D1048433" s="1" t="s">
        <v>3682</v>
      </c>
      <c r="E1048433" s="1" t="s">
        <v>3176</v>
      </c>
      <c r="F1048433" s="1" t="s">
        <v>3577</v>
      </c>
      <c r="G1048433" s="8" t="s">
        <v>3516</v>
      </c>
    </row>
    <row r="1048434" customFormat="false" ht="12.8" hidden="false" customHeight="false" outlineLevel="0" collapsed="false">
      <c r="A1048434" s="1" t="s">
        <v>3680</v>
      </c>
      <c r="B1048434" s="1" t="s">
        <v>3681</v>
      </c>
      <c r="C1048434" s="1" t="n">
        <v>200</v>
      </c>
      <c r="D1048434" s="1" t="s">
        <v>3682</v>
      </c>
      <c r="E1048434" s="1" t="s">
        <v>3176</v>
      </c>
      <c r="F1048434" s="1" t="s">
        <v>3318</v>
      </c>
      <c r="G1048434" s="1" t="s">
        <v>3578</v>
      </c>
    </row>
    <row r="1048435" customFormat="false" ht="12.8" hidden="false" customHeight="false" outlineLevel="0" collapsed="false">
      <c r="A1048435" s="1" t="s">
        <v>3680</v>
      </c>
      <c r="B1048435" s="1" t="s">
        <v>3681</v>
      </c>
      <c r="C1048435" s="1" t="n">
        <v>200</v>
      </c>
      <c r="D1048435" s="1" t="s">
        <v>3682</v>
      </c>
      <c r="E1048435" s="1" t="s">
        <v>3176</v>
      </c>
      <c r="F1048435" s="1" t="s">
        <v>3436</v>
      </c>
      <c r="G1048435" s="1" t="s">
        <v>3244</v>
      </c>
    </row>
    <row r="1048436" customFormat="false" ht="12.8" hidden="false" customHeight="false" outlineLevel="0" collapsed="false">
      <c r="A1048436" s="1" t="s">
        <v>3680</v>
      </c>
      <c r="B1048436" s="1" t="s">
        <v>3681</v>
      </c>
      <c r="C1048436" s="1" t="n">
        <v>200</v>
      </c>
      <c r="D1048436" s="1" t="s">
        <v>3682</v>
      </c>
      <c r="E1048436" s="1" t="s">
        <v>3176</v>
      </c>
      <c r="F1048436" s="1" t="s">
        <v>3579</v>
      </c>
      <c r="G1048436" s="1" t="s">
        <v>3580</v>
      </c>
    </row>
    <row r="1048437" customFormat="false" ht="12.8" hidden="false" customHeight="false" outlineLevel="0" collapsed="false">
      <c r="A1048437" s="1" t="s">
        <v>3680</v>
      </c>
      <c r="B1048437" s="1" t="s">
        <v>3681</v>
      </c>
      <c r="C1048437" s="1" t="n">
        <v>200</v>
      </c>
      <c r="D1048437" s="1" t="s">
        <v>3682</v>
      </c>
      <c r="E1048437" s="1" t="s">
        <v>3176</v>
      </c>
      <c r="F1048437" s="1" t="s">
        <v>3684</v>
      </c>
      <c r="G1048437" s="1" t="s">
        <v>3685</v>
      </c>
    </row>
    <row r="1048438" customFormat="false" ht="12.8" hidden="false" customHeight="false" outlineLevel="0" collapsed="false">
      <c r="A1048438" s="1" t="s">
        <v>3680</v>
      </c>
      <c r="B1048438" s="1" t="s">
        <v>3681</v>
      </c>
      <c r="C1048438" s="1" t="n">
        <v>200</v>
      </c>
      <c r="D1048438" s="1" t="s">
        <v>3682</v>
      </c>
      <c r="E1048438" s="1" t="s">
        <v>3176</v>
      </c>
      <c r="F1048438" s="1" t="s">
        <v>3591</v>
      </c>
      <c r="G1048438" s="1" t="s">
        <v>3592</v>
      </c>
    </row>
    <row r="1048439" customFormat="false" ht="12.8" hidden="false" customHeight="false" outlineLevel="0" collapsed="false">
      <c r="A1048439" s="1" t="s">
        <v>3680</v>
      </c>
      <c r="B1048439" s="1" t="s">
        <v>3681</v>
      </c>
      <c r="C1048439" s="1" t="n">
        <v>200</v>
      </c>
      <c r="D1048439" s="1" t="s">
        <v>3682</v>
      </c>
      <c r="E1048439" s="1" t="s">
        <v>3176</v>
      </c>
      <c r="F1048439" s="1" t="s">
        <v>3593</v>
      </c>
      <c r="G1048439" s="1" t="s">
        <v>3594</v>
      </c>
    </row>
    <row r="1048440" customFormat="false" ht="12.8" hidden="false" customHeight="false" outlineLevel="0" collapsed="false">
      <c r="A1048440" s="1" t="s">
        <v>3680</v>
      </c>
      <c r="B1048440" s="1" t="s">
        <v>3681</v>
      </c>
      <c r="C1048440" s="1" t="n">
        <v>200</v>
      </c>
      <c r="D1048440" s="1" t="s">
        <v>3682</v>
      </c>
      <c r="E1048440" s="1" t="s">
        <v>3176</v>
      </c>
      <c r="F1048440" s="1" t="s">
        <v>3595</v>
      </c>
      <c r="G1048440" s="1" t="s">
        <v>3596</v>
      </c>
    </row>
    <row r="1048441" customFormat="false" ht="12.8" hidden="false" customHeight="false" outlineLevel="0" collapsed="false">
      <c r="A1048441" s="1" t="s">
        <v>3680</v>
      </c>
      <c r="B1048441" s="1" t="s">
        <v>3681</v>
      </c>
      <c r="C1048441" s="1" t="n">
        <v>200</v>
      </c>
      <c r="D1048441" s="1" t="s">
        <v>3682</v>
      </c>
      <c r="E1048441" s="1" t="s">
        <v>3176</v>
      </c>
      <c r="F1048441" s="1" t="s">
        <v>3597</v>
      </c>
      <c r="G1048441" s="1" t="n">
        <v>5000</v>
      </c>
    </row>
    <row r="1048442" customFormat="false" ht="12.8" hidden="false" customHeight="false" outlineLevel="0" collapsed="false">
      <c r="A1048442" s="1" t="s">
        <v>3680</v>
      </c>
      <c r="B1048442" s="1" t="s">
        <v>3681</v>
      </c>
      <c r="C1048442" s="1" t="n">
        <v>200</v>
      </c>
      <c r="D1048442" s="1" t="s">
        <v>3682</v>
      </c>
      <c r="E1048442" s="1" t="s">
        <v>3176</v>
      </c>
      <c r="F1048442" s="1" t="s">
        <v>3598</v>
      </c>
      <c r="G1048442" s="1" t="s">
        <v>3599</v>
      </c>
    </row>
    <row r="1048443" customFormat="false" ht="12.8" hidden="false" customHeight="false" outlineLevel="0" collapsed="false">
      <c r="A1048443" s="1" t="s">
        <v>3680</v>
      </c>
      <c r="B1048443" s="1" t="s">
        <v>3681</v>
      </c>
      <c r="C1048443" s="1" t="n">
        <v>200</v>
      </c>
      <c r="D1048443" s="1" t="s">
        <v>3682</v>
      </c>
      <c r="E1048443" s="1" t="s">
        <v>3176</v>
      </c>
      <c r="F1048443" s="1" t="s">
        <v>3600</v>
      </c>
      <c r="G1048443" s="1" t="n">
        <v>64000</v>
      </c>
    </row>
    <row r="1048444" customFormat="false" ht="12.8" hidden="false" customHeight="false" outlineLevel="0" collapsed="false">
      <c r="A1048444" s="1" t="s">
        <v>3680</v>
      </c>
      <c r="B1048444" s="1" t="s">
        <v>3681</v>
      </c>
      <c r="C1048444" s="1" t="n">
        <v>200</v>
      </c>
      <c r="D1048444" s="1" t="s">
        <v>3682</v>
      </c>
      <c r="E1048444" s="1" t="s">
        <v>3176</v>
      </c>
      <c r="F1048444" s="1" t="s">
        <v>3601</v>
      </c>
      <c r="G1048444" s="1" t="s">
        <v>3602</v>
      </c>
    </row>
    <row r="1048445" customFormat="false" ht="12.8" hidden="false" customHeight="false" outlineLevel="0" collapsed="false">
      <c r="A1048445" s="1" t="s">
        <v>3680</v>
      </c>
      <c r="B1048445" s="1" t="s">
        <v>3681</v>
      </c>
      <c r="C1048445" s="1" t="n">
        <v>200</v>
      </c>
      <c r="D1048445" s="1" t="s">
        <v>3682</v>
      </c>
      <c r="E1048445" s="1" t="s">
        <v>3176</v>
      </c>
      <c r="F1048445" s="1" t="s">
        <v>3603</v>
      </c>
      <c r="G1048445" s="1" t="s">
        <v>3604</v>
      </c>
    </row>
    <row r="1048446" customFormat="false" ht="12.8" hidden="false" customHeight="false" outlineLevel="0" collapsed="false">
      <c r="A1048446" s="1" t="s">
        <v>3680</v>
      </c>
      <c r="B1048446" s="1" t="s">
        <v>3681</v>
      </c>
      <c r="C1048446" s="1" t="n">
        <v>200</v>
      </c>
      <c r="D1048446" s="1" t="s">
        <v>3682</v>
      </c>
      <c r="E1048446" s="1" t="s">
        <v>3176</v>
      </c>
      <c r="F1048446" s="1" t="s">
        <v>3605</v>
      </c>
      <c r="G1048446" s="1" t="n">
        <v>8080</v>
      </c>
    </row>
    <row r="1048447" customFormat="false" ht="12.8" hidden="false" customHeight="false" outlineLevel="0" collapsed="false">
      <c r="A1048447" s="1" t="s">
        <v>3680</v>
      </c>
      <c r="B1048447" s="1" t="s">
        <v>3681</v>
      </c>
      <c r="C1048447" s="1" t="n">
        <v>200</v>
      </c>
      <c r="D1048447" s="1" t="s">
        <v>3682</v>
      </c>
      <c r="E1048447" s="1" t="s">
        <v>3176</v>
      </c>
      <c r="F1048447" s="1" t="s">
        <v>3606</v>
      </c>
      <c r="G1048447" s="8" t="s">
        <v>3516</v>
      </c>
    </row>
    <row r="1048448" customFormat="false" ht="12.8" hidden="false" customHeight="false" outlineLevel="0" collapsed="false">
      <c r="A1048448" s="1" t="s">
        <v>3680</v>
      </c>
      <c r="B1048448" s="1" t="s">
        <v>3681</v>
      </c>
      <c r="C1048448" s="1" t="n">
        <v>200</v>
      </c>
      <c r="D1048448" s="1" t="s">
        <v>3682</v>
      </c>
      <c r="E1048448" s="1" t="s">
        <v>3176</v>
      </c>
      <c r="F1048448" s="1" t="s">
        <v>3607</v>
      </c>
      <c r="G1048448" s="1" t="n">
        <v>200</v>
      </c>
    </row>
    <row r="1048449" customFormat="false" ht="12.8" hidden="false" customHeight="false" outlineLevel="0" collapsed="false">
      <c r="A1048449" s="1" t="s">
        <v>3680</v>
      </c>
      <c r="B1048449" s="1" t="s">
        <v>3681</v>
      </c>
      <c r="C1048449" s="1" t="n">
        <v>200</v>
      </c>
      <c r="D1048449" s="1" t="s">
        <v>3682</v>
      </c>
      <c r="E1048449" s="1" t="s">
        <v>3176</v>
      </c>
      <c r="F1048449" s="1" t="s">
        <v>3608</v>
      </c>
      <c r="G1048449" s="1" t="n">
        <v>10</v>
      </c>
    </row>
    <row r="1048450" customFormat="false" ht="12.8" hidden="false" customHeight="false" outlineLevel="0" collapsed="false">
      <c r="A1048450" s="1" t="s">
        <v>3680</v>
      </c>
      <c r="B1048450" s="1" t="s">
        <v>3681</v>
      </c>
      <c r="C1048450" s="1" t="n">
        <v>200</v>
      </c>
      <c r="D1048450" s="1" t="s">
        <v>3682</v>
      </c>
      <c r="E1048450" s="1" t="s">
        <v>3176</v>
      </c>
      <c r="F1048450" s="1" t="s">
        <v>3609</v>
      </c>
      <c r="G1048450" s="1" t="n">
        <v>1</v>
      </c>
    </row>
    <row r="1048451" customFormat="false" ht="12.8" hidden="false" customHeight="false" outlineLevel="0" collapsed="false">
      <c r="A1048451" s="1" t="s">
        <v>3680</v>
      </c>
      <c r="B1048451" s="1" t="s">
        <v>3681</v>
      </c>
      <c r="C1048451" s="1" t="n">
        <v>200</v>
      </c>
      <c r="D1048451" s="1" t="s">
        <v>3682</v>
      </c>
      <c r="E1048451" s="1" t="s">
        <v>3176</v>
      </c>
      <c r="F1048451" s="1" t="s">
        <v>3646</v>
      </c>
      <c r="G1048451" s="1" t="s">
        <v>3647</v>
      </c>
    </row>
    <row r="1048452" customFormat="false" ht="12.8" hidden="false" customHeight="false" outlineLevel="0" collapsed="false">
      <c r="A1048452" s="1" t="s">
        <v>3680</v>
      </c>
      <c r="B1048452" s="1" t="s">
        <v>3681</v>
      </c>
      <c r="C1048452" s="1" t="n">
        <v>200</v>
      </c>
      <c r="D1048452" s="1" t="s">
        <v>3682</v>
      </c>
      <c r="E1048452" s="1" t="s">
        <v>3176</v>
      </c>
      <c r="F1048452" s="1" t="s">
        <v>3648</v>
      </c>
      <c r="G1048452" s="1" t="s">
        <v>3594</v>
      </c>
    </row>
    <row r="1048453" customFormat="false" ht="12.8" hidden="false" customHeight="false" outlineLevel="0" collapsed="false">
      <c r="A1048453" s="1" t="s">
        <v>3680</v>
      </c>
      <c r="B1048453" s="1" t="s">
        <v>3681</v>
      </c>
      <c r="C1048453" s="1" t="n">
        <v>200</v>
      </c>
      <c r="D1048453" s="1" t="s">
        <v>3682</v>
      </c>
      <c r="E1048453" s="1" t="s">
        <v>3176</v>
      </c>
      <c r="F1048453" s="1" t="s">
        <v>3649</v>
      </c>
      <c r="G1048453" s="1" t="s">
        <v>3650</v>
      </c>
    </row>
    <row r="1048454" customFormat="false" ht="12.8" hidden="false" customHeight="false" outlineLevel="0" collapsed="false">
      <c r="A1048454" s="1" t="s">
        <v>3680</v>
      </c>
      <c r="B1048454" s="1" t="s">
        <v>3681</v>
      </c>
      <c r="C1048454" s="1" t="n">
        <v>200</v>
      </c>
      <c r="D1048454" s="1" t="s">
        <v>3682</v>
      </c>
      <c r="E1048454" s="1" t="s">
        <v>3176</v>
      </c>
      <c r="F1048454" s="1" t="s">
        <v>3651</v>
      </c>
      <c r="G1048454" s="1" t="n">
        <v>100</v>
      </c>
    </row>
    <row r="1048455" customFormat="false" ht="12.8" hidden="false" customHeight="false" outlineLevel="0" collapsed="false">
      <c r="A1048455" s="1" t="s">
        <v>3680</v>
      </c>
      <c r="B1048455" s="1" t="s">
        <v>3681</v>
      </c>
      <c r="C1048455" s="1" t="n">
        <v>200</v>
      </c>
      <c r="D1048455" s="1" t="s">
        <v>3682</v>
      </c>
      <c r="E1048455" s="1" t="s">
        <v>3176</v>
      </c>
      <c r="F1048455" s="1" t="s">
        <v>3652</v>
      </c>
      <c r="G1048455" s="1" t="n">
        <v>100</v>
      </c>
    </row>
    <row r="1048456" customFormat="false" ht="12.8" hidden="false" customHeight="false" outlineLevel="0" collapsed="false">
      <c r="A1048456" s="1" t="s">
        <v>3680</v>
      </c>
      <c r="B1048456" s="1" t="s">
        <v>3681</v>
      </c>
      <c r="C1048456" s="1" t="n">
        <v>200</v>
      </c>
      <c r="D1048456" s="1" t="s">
        <v>3682</v>
      </c>
      <c r="E1048456" s="1" t="s">
        <v>3176</v>
      </c>
      <c r="F1048456" s="1" t="s">
        <v>3653</v>
      </c>
      <c r="G1048456" s="1" t="n">
        <v>1000</v>
      </c>
    </row>
    <row r="1048457" customFormat="false" ht="12.8" hidden="false" customHeight="false" outlineLevel="0" collapsed="false">
      <c r="A1048457" s="1" t="s">
        <v>3680</v>
      </c>
      <c r="B1048457" s="1" t="s">
        <v>3681</v>
      </c>
      <c r="C1048457" s="1" t="n">
        <v>200</v>
      </c>
      <c r="D1048457" s="1" t="s">
        <v>3682</v>
      </c>
      <c r="E1048457" s="1" t="s">
        <v>3176</v>
      </c>
      <c r="F1048457" s="1" t="s">
        <v>3678</v>
      </c>
      <c r="G1048457" s="1" t="s">
        <v>3679</v>
      </c>
    </row>
    <row r="1048458" customFormat="false" ht="12.8" hidden="false" customHeight="false" outlineLevel="0" collapsed="false">
      <c r="A1048458" s="1" t="s">
        <v>3680</v>
      </c>
      <c r="B1048458" s="1" t="s">
        <v>3681</v>
      </c>
      <c r="C1048458" s="1" t="n">
        <v>200</v>
      </c>
      <c r="D1048458" s="1" t="s">
        <v>3682</v>
      </c>
      <c r="E1048458" s="1" t="s">
        <v>3176</v>
      </c>
      <c r="F1048458" s="1" t="s">
        <v>3666</v>
      </c>
      <c r="G1048458" s="8" t="s">
        <v>3667</v>
      </c>
    </row>
    <row r="1048459" customFormat="false" ht="12.8" hidden="false" customHeight="false" outlineLevel="0" collapsed="false">
      <c r="A1048459" s="1" t="s">
        <v>3680</v>
      </c>
      <c r="B1048459" s="1" t="s">
        <v>3681</v>
      </c>
      <c r="C1048459" s="1" t="n">
        <v>200</v>
      </c>
      <c r="D1048459" s="1" t="s">
        <v>3682</v>
      </c>
      <c r="E1048459" s="1" t="s">
        <v>3176</v>
      </c>
      <c r="F1048459" s="1" t="s">
        <v>3668</v>
      </c>
      <c r="G1048459" s="8" t="s">
        <v>3516</v>
      </c>
    </row>
    <row r="1048460" customFormat="false" ht="12.8" hidden="false" customHeight="false" outlineLevel="0" collapsed="false">
      <c r="A1048460" s="1" t="s">
        <v>3680</v>
      </c>
      <c r="B1048460" s="1" t="s">
        <v>3681</v>
      </c>
      <c r="C1048460" s="1" t="n">
        <v>200</v>
      </c>
      <c r="D1048460" s="1" t="s">
        <v>3682</v>
      </c>
      <c r="E1048460" s="1" t="s">
        <v>3176</v>
      </c>
      <c r="F1048460" s="1" t="s">
        <v>3669</v>
      </c>
      <c r="G1048460" s="8" t="s">
        <v>3516</v>
      </c>
    </row>
    <row r="1048461" customFormat="false" ht="12.8" hidden="false" customHeight="false" outlineLevel="0" collapsed="false">
      <c r="A1048461" s="1" t="s">
        <v>3680</v>
      </c>
      <c r="B1048461" s="1" t="s">
        <v>3681</v>
      </c>
      <c r="C1048461" s="1" t="n">
        <v>200</v>
      </c>
      <c r="D1048461" s="1" t="s">
        <v>3682</v>
      </c>
      <c r="E1048461" s="1" t="s">
        <v>3176</v>
      </c>
      <c r="F1048461" s="1" t="s">
        <v>3670</v>
      </c>
      <c r="G1048461" s="1" t="s">
        <v>3671</v>
      </c>
    </row>
    <row r="1048462" customFormat="false" ht="12.8" hidden="false" customHeight="false" outlineLevel="0" collapsed="false">
      <c r="A1048462" s="1" t="s">
        <v>3680</v>
      </c>
      <c r="B1048462" s="1" t="s">
        <v>3681</v>
      </c>
      <c r="C1048462" s="1" t="n">
        <v>200</v>
      </c>
      <c r="D1048462" s="1" t="s">
        <v>3682</v>
      </c>
      <c r="E1048462" s="1" t="s">
        <v>3176</v>
      </c>
      <c r="F1048462" s="1" t="s">
        <v>3672</v>
      </c>
      <c r="G1048462" s="1" t="s">
        <v>3671</v>
      </c>
    </row>
    <row r="1048463" customFormat="false" ht="12.8" hidden="false" customHeight="false" outlineLevel="0" collapsed="false">
      <c r="A1048463" s="1" t="s">
        <v>3680</v>
      </c>
      <c r="B1048463" s="1" t="s">
        <v>3681</v>
      </c>
      <c r="C1048463" s="1" t="n">
        <v>200</v>
      </c>
      <c r="D1048463" s="1" t="s">
        <v>3682</v>
      </c>
      <c r="E1048463" s="1" t="s">
        <v>3176</v>
      </c>
      <c r="F1048463" s="1" t="s">
        <v>3673</v>
      </c>
      <c r="G1048463" s="8" t="s">
        <v>3667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2026-02-24T15:12:55Z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